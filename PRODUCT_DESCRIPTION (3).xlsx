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_description" sheetId="1" r:id="rId5"/>
    <sheet state="visible" name="Product Price vs. Rating (Log S" sheetId="2" r:id="rId6"/>
    <sheet state="visible" name="Sheet1" sheetId="3" r:id="rId7"/>
    <sheet state="visible" name="Average Product Price by Catego" sheetId="4" r:id="rId8"/>
    <sheet state="visible" name="Number of Products by Category" sheetId="5" r:id="rId9"/>
    <sheet state="visible" name="Sentiment Analysis of Products" sheetId="6" r:id="rId10"/>
  </sheets>
  <definedNames/>
  <calcPr/>
</workbook>
</file>

<file path=xl/sharedStrings.xml><?xml version="1.0" encoding="utf-8"?>
<sst xmlns="http://schemas.openxmlformats.org/spreadsheetml/2006/main" count="1114" uniqueCount="458">
  <si>
    <t>id</t>
  </si>
  <si>
    <t>title</t>
  </si>
  <si>
    <t>description</t>
  </si>
  <si>
    <t>category</t>
  </si>
  <si>
    <t>price</t>
  </si>
  <si>
    <t>discountPercentage</t>
  </si>
  <si>
    <t>rating</t>
  </si>
  <si>
    <t>stock</t>
  </si>
  <si>
    <t>tags</t>
  </si>
  <si>
    <t>brand</t>
  </si>
  <si>
    <t>weight</t>
  </si>
  <si>
    <t>warrantyInformation</t>
  </si>
  <si>
    <t>shippingInformation</t>
  </si>
  <si>
    <t>availabilityStatus</t>
  </si>
  <si>
    <t>reviews</t>
  </si>
  <si>
    <t>returnPolicy</t>
  </si>
  <si>
    <t>minimumOrderQuantity</t>
  </si>
  <si>
    <t>Summary of the description using AI</t>
  </si>
  <si>
    <t>Translation in FRENCH</t>
  </si>
  <si>
    <t>Sentiment Analysis</t>
  </si>
  <si>
    <t>Essence Mascara Lash Princess</t>
  </si>
  <si>
    <t>The Essence Mascara Lash Princess is a popular mascara known for its volumizing and lengthening effects. Achieve dramatic lashes with this long-lasting and cruelty-free formula.</t>
  </si>
  <si>
    <t>beauty</t>
  </si>
  <si>
    <t>['beauty', 'mascara']</t>
  </si>
  <si>
    <t>Essence</t>
  </si>
  <si>
    <t>1 week warranty</t>
  </si>
  <si>
    <t>Ships in 3-5 business days</t>
  </si>
  <si>
    <t>In Stock</t>
  </si>
  <si>
    <t>[{'rating': 3, 'comment': 'Would not recommend!', 'date': '2025-04-30T09:41:02.053Z', 'reviewerName': 'Eleanor Collins', 'reviewerEmail': 'eleanor.collins@x.dummyjson.com'}, {'rating': 4, 'comment': 'Very satisfied!', 'date': '2025-04-30T09:41:02.053Z', 'reviewerName': 'Lucas Gordon', 'reviewerEmail': 'lucas.gordon@x.dummyjson.com'}, {'rating': 5, 'comment': 'Highly impressed!', 'date': '2025-04-30T09:41:02.053Z', 'reviewerName': 'Eleanor Collins', 'reviewerEmail': 'eleanor.collins@x.dummyjson.com'}]</t>
  </si>
  <si>
    <t>No return policy</t>
  </si>
  <si>
    <t>Eyeshadow Palette with Mirror</t>
  </si>
  <si>
    <t>The Eyeshadow Palette with Mirror offers a versatile range of eyeshadow shades for creating stunning eye looks. With a built-in mirror, it's convenient for on-the-go makeup application.</t>
  </si>
  <si>
    <t>['beauty', 'eyeshadow']</t>
  </si>
  <si>
    <t>Glamour Beauty</t>
  </si>
  <si>
    <t>1 year warranty</t>
  </si>
  <si>
    <t>Ships in 2 weeks</t>
  </si>
  <si>
    <t>[{'rating': 5, 'comment': 'Great product!', 'date': '2025-04-30T09:41:02.053Z', 'reviewerName': 'Savannah Gomez', 'reviewerEmail': 'savannah.gomez@x.dummyjson.com'}, {'rating': 4, 'comment': 'Awesome product!', 'date': '2025-04-30T09:41:02.053Z', 'reviewerName': 'Christian Perez', 'reviewerEmail': 'christian.perez@x.dummyjson.com'}, {'rating': 1, 'comment': 'Poor quality!', 'date': '2025-04-30T09:41:02.053Z', 'reviewerName': 'Nicholas Bailey', 'reviewerEmail': 'nicholas.bailey@x.dummyjson.com'}]</t>
  </si>
  <si>
    <t>7 days return policy</t>
  </si>
  <si>
    <t>Powder Canister</t>
  </si>
  <si>
    <t>The Powder Canister is a finely milled setting powder designed to set makeup and control shine. With a lightweight and translucent formula, it provides a smooth and matte finish.</t>
  </si>
  <si>
    <t>['beauty', 'face powder']</t>
  </si>
  <si>
    <t>Velvet Touch</t>
  </si>
  <si>
    <t>3 months warranty</t>
  </si>
  <si>
    <t>Ships in 1-2 business days</t>
  </si>
  <si>
    <t>[{'rating': 4, 'comment': 'Would buy again!', 'date': '2025-04-30T09:41:02.053Z', 'reviewerName': 'Alexander Jones', 'reviewerEmail': 'alexander.jones@x.dummyjson.com'}, {'rating': 5, 'comment': 'Highly impressed!', 'date': '2025-04-30T09:41:02.053Z', 'reviewerName': 'Elijah Cruz', 'reviewerEmail': 'elijah.cruz@x.dummyjson.com'}, {'rating': 1, 'comment': 'Very dissatisfied!', 'date': '2025-04-30T09:41:02.053Z', 'reviewerName': 'Avery Perez', 'reviewerEmail': 'avery.perez@x.dummyjson.com'}]</t>
  </si>
  <si>
    <t>Red Lipstick</t>
  </si>
  <si>
    <t>The Red Lipstick is a classic and bold choice for adding a pop of color to your lips. With a creamy and pigmented formula, it provides a vibrant and long-lasting finish.</t>
  </si>
  <si>
    <t>['beauty', 'lipstick']</t>
  </si>
  <si>
    <t>Chic Cosmetics</t>
  </si>
  <si>
    <t>3 year warranty</t>
  </si>
  <si>
    <t>Ships in 1 week</t>
  </si>
  <si>
    <t>[{'rating': 4, 'comment': 'Great product!', 'date': '2025-04-30T09:41:02.053Z', 'reviewerName': 'Liam Garcia', 'reviewerEmail': 'liam.garcia@x.dummyjson.com'}, {'rating': 5, 'comment': 'Great product!', 'date': '2025-04-30T09:41:02.053Z', 'reviewerName': 'Ruby Andrews', 'reviewerEmail': 'ruby.andrews@x.dummyjson.com'}, {'rating': 5, 'comment': 'Would buy again!', 'date': '2025-04-30T09:41:02.053Z', 'reviewerName': 'Clara Berry', 'reviewerEmail': 'clara.berry@x.dummyjson.com'}]</t>
  </si>
  <si>
    <t>Red Nail Polish</t>
  </si>
  <si>
    <t>The Red Nail Polish offers a rich and glossy red hue for vibrant and polished nails. With a quick-drying formula, it provides a salon-quality finish at home.</t>
  </si>
  <si>
    <t>['beauty', 'nail polish']</t>
  </si>
  <si>
    <t>Nail Couture</t>
  </si>
  <si>
    <t>1 month warranty</t>
  </si>
  <si>
    <t>Ships overnight</t>
  </si>
  <si>
    <t>[{'rating': 2, 'comment': 'Poor quality!', 'date': '2025-04-30T09:41:02.053Z', 'reviewerName': 'Benjamin Wilson', 'reviewerEmail': 'benjamin.wilson@x.dummyjson.com'}, {'rating': 5, 'comment': 'Great product!', 'date': '2025-04-30T09:41:02.053Z', 'reviewerName': 'Liam Smith', 'reviewerEmail': 'liam.smith@x.dummyjson.com'}, {'rating': 1, 'comment': 'Very unhappy with my purchase!', 'date': '2025-04-30T09:41:02.053Z', 'reviewerName': 'Clara Berry', 'reviewerEmail': 'clara.berry@x.dummyjson.com'}]</t>
  </si>
  <si>
    <t>Calvin Klein CK One</t>
  </si>
  <si>
    <t>CK One by Calvin Klein is a classic unisex fragrance, known for its fresh and clean scent. It's a versatile fragrance suitable for everyday wear.</t>
  </si>
  <si>
    <t>fragrances</t>
  </si>
  <si>
    <t>['fragrances', 'perfumes']</t>
  </si>
  <si>
    <t>Calvin Klein</t>
  </si>
  <si>
    <t>[{'rating': 2, 'comment': 'Very disappointed!', 'date': '2025-04-30T09:41:02.053Z', 'reviewerName': 'Layla Young', 'reviewerEmail': 'layla.young@x.dummyjson.com'}, {'rating': 4, 'comment': 'Fast shipping!', 'date': '2025-04-30T09:41:02.053Z', 'reviewerName': 'Daniel Cook', 'reviewerEmail': 'daniel.cook@x.dummyjson.com'}, {'rating': 3, 'comment': 'Not as described!', 'date': '2025-04-30T09:41:02.053Z', 'reviewerName': 'Jacob Cooper', 'reviewerEmail': 'jacob.cooper@x.dummyjson.com'}]</t>
  </si>
  <si>
    <t>90 days return policy</t>
  </si>
  <si>
    <t>Chanel Coco Noir Eau De</t>
  </si>
  <si>
    <t>Coco Noir by Chanel is an elegant and mysterious fragrance, featuring notes of grapefruit, rose, and sandalwood. Perfect for evening occasions.</t>
  </si>
  <si>
    <t>Chanel</t>
  </si>
  <si>
    <t>[{'rating': 4, 'comment': 'Highly impressed!', 'date': '2025-04-30T09:41:02.053Z', 'reviewerName': 'Ruby Andrews', 'reviewerEmail': 'ruby.andrews@x.dummyjson.com'}, {'rating': 5, 'comment': 'Awesome product!', 'date': '2025-04-30T09:41:02.053Z', 'reviewerName': 'Leah Henderson', 'reviewerEmail': 'leah.henderson@x.dummyjson.com'}, {'rating': 5, 'comment': 'Very happy with my purchase!', 'date': '2025-04-30T09:41:02.053Z', 'reviewerName': 'Xavier Wright', 'reviewerEmail': 'xavier.wright@x.dummyjson.com'}]</t>
  </si>
  <si>
    <t>Dior J'adore</t>
  </si>
  <si>
    <t>J'adore by Dior is a luxurious and floral fragrance, known for its blend of ylang-ylang, rose, and jasmine. It embodies femininity and sophistication.</t>
  </si>
  <si>
    <t>Dior</t>
  </si>
  <si>
    <t>[{'rating': 5, 'comment': 'Great value for money!', 'date': '2025-04-30T09:41:02.053Z', 'reviewerName': 'Nicholas Bailey', 'reviewerEmail': 'nicholas.bailey@x.dummyjson.com'}, {'rating': 4, 'comment': 'Great value for money!', 'date': '2025-04-30T09:41:02.053Z', 'reviewerName': 'Penelope Harper', 'reviewerEmail': 'penelope.harper@x.dummyjson.com'}, {'rating': 4, 'comment': 'Great product!', 'date': '2025-04-30T09:41:02.053Z', 'reviewerName': 'Emma Miller', 'reviewerEmail': 'emma.miller@x.dummyjson.com'}]</t>
  </si>
  <si>
    <t>Dolce Shine Eau de</t>
  </si>
  <si>
    <t>Dolce Shine by Dolce &amp; Gabbana is a vibrant and fruity fragrance, featuring notes of mango, jasmine, and blonde woods. It's a joyful and youthful scent.</t>
  </si>
  <si>
    <t>Dolce &amp; Gabbana</t>
  </si>
  <si>
    <t>Ships in 1 month</t>
  </si>
  <si>
    <t>Low Stock</t>
  </si>
  <si>
    <t>[{'rating': 4, 'comment': 'Would buy again!', 'date': '2025-04-30T09:41:02.053Z', 'reviewerName': 'Mateo Bennett', 'reviewerEmail': 'mateo.bennett@x.dummyjson.com'}, {'rating': 4, 'comment': 'Highly recommended!', 'date': '2025-04-30T09:41:02.053Z', 'reviewerName': 'Nolan Gonzalez', 'reviewerEmail': 'nolan.gonzalez@x.dummyjson.com'}, {'rating': 5, 'comment': 'Very happy with my purchase!', 'date': '2025-04-30T09:41:02.053Z', 'reviewerName': 'Aurora Lawson', 'reviewerEmail': 'aurora.lawson@x.dummyjson.com'}]</t>
  </si>
  <si>
    <t>Gucci Bloom Eau de</t>
  </si>
  <si>
    <t>Gucci Bloom by Gucci is a floral and captivating fragrance, with notes of tuberose, jasmine, and Rangoon creeper. It's a modern and romantic scent.</t>
  </si>
  <si>
    <t>Gucci</t>
  </si>
  <si>
    <t>6 months warranty</t>
  </si>
  <si>
    <t>[{'rating': 1, 'comment': 'Very dissatisfied!', 'date': '2025-04-30T09:41:02.053Z', 'reviewerName': 'Cameron Perez', 'reviewerEmail': 'cameron.perez@x.dummyjson.com'}, {'rating': 5, 'comment': 'Very happy with my purchase!', 'date': '2025-04-30T09:41:02.053Z', 'reviewerName': 'Daniel Cook', 'reviewerEmail': 'daniel.cook@x.dummyjson.com'}, {'rating': 4, 'comment': 'Highly impressed!', 'date': '2025-04-30T09:41:02.053Z', 'reviewerName': 'Addison Wright', 'reviewerEmail': 'addison.wright@x.dummyjson.com'}]</t>
  </si>
  <si>
    <t>Annibale Colombo Bed</t>
  </si>
  <si>
    <t>The Annibale Colombo Bed is a luxurious and elegant bed frame, crafted with high-quality materials for a comfortable and stylish bedroom.</t>
  </si>
  <si>
    <t>furniture</t>
  </si>
  <si>
    <t>['furniture', 'beds']</t>
  </si>
  <si>
    <t>Annibale Colombo</t>
  </si>
  <si>
    <t>[{'rating': 2, 'comment': 'Would not recommend!', 'date': '2025-04-30T09:41:02.053Z', 'reviewerName': 'Christopher West', 'reviewerEmail': 'christopher.west@x.dummyjson.com'}, {'rating': 4, 'comment': 'Highly impressed!', 'date': '2025-04-30T09:41:02.053Z', 'reviewerName': 'Vivian Carter', 'reviewerEmail': 'vivian.carter@x.dummyjson.com'}, {'rating': 1, 'comment': 'Poor quality!', 'date': '2025-04-30T09:41:02.053Z', 'reviewerName': 'Mason Wright', 'reviewerEmail': 'mason.wright@x.dummyjson.com'}]</t>
  </si>
  <si>
    <t>Annibale Colombo Sofa</t>
  </si>
  <si>
    <t>The Annibale Colombo Sofa is a sophisticated and comfortable seating option, featuring exquisite design and premium upholstery for your living room.</t>
  </si>
  <si>
    <t>['furniture', 'sofas']</t>
  </si>
  <si>
    <t>Lifetime warranty</t>
  </si>
  <si>
    <t>[{'rating': 3, 'comment': 'Very unhappy with my purchase!', 'date': '2025-04-30T09:41:02.053Z', 'reviewerName': 'Christian Perez', 'reviewerEmail': 'christian.perez@x.dummyjson.com'}, {'rating': 5, 'comment': 'Fast shipping!', 'date': '2025-04-30T09:41:02.053Z', 'reviewerName': 'Lillian Bishop', 'reviewerEmail': 'lillian.bishop@x.dummyjson.com'}, {'rating': 1, 'comment': 'Poor quality!', 'date': '2025-04-30T09:41:02.053Z', 'reviewerName': 'Lillian Simmons', 'reviewerEmail': 'lillian.simmons@x.dummyjson.com'}]</t>
  </si>
  <si>
    <t>Bedside Table African Cherry</t>
  </si>
  <si>
    <t>The Bedside Table in African Cherry is a stylish and functional addition to your bedroom, providing convenient storage space and a touch of elegance.</t>
  </si>
  <si>
    <t>['furniture', 'bedside tables']</t>
  </si>
  <si>
    <t>Furniture Co.</t>
  </si>
  <si>
    <t>5 year warranty</t>
  </si>
  <si>
    <t>[{'rating': 4, 'comment': 'Excellent quality!', 'date': '2025-04-30T09:41:02.053Z', 'reviewerName': 'Aaliyah Hanson', 'reviewerEmail': 'aaliyah.hanson@x.dummyjson.com'}, {'rating': 4, 'comment': 'Excellent quality!', 'date': '2025-04-30T09:41:02.053Z', 'reviewerName': 'Liam Smith', 'reviewerEmail': 'liam.smith@x.dummyjson.com'}, {'rating': 4, 'comment': 'Highly recommended!', 'date': '2025-04-30T09:41:02.053Z', 'reviewerName': 'Avery Barnes', 'reviewerEmail': 'avery.barnes@x.dummyjson.com'}]</t>
  </si>
  <si>
    <t>Knoll Saarinen Executive Conference Chair</t>
  </si>
  <si>
    <t>The Knoll Saarinen Executive Conference Chair is a modern and ergonomic chair, perfect for your office or conference room with its timeless design.</t>
  </si>
  <si>
    <t>['furniture', 'office chairs']</t>
  </si>
  <si>
    <t>Knoll</t>
  </si>
  <si>
    <t>2 year warranty</t>
  </si>
  <si>
    <t>[{'rating': 2, 'comment': 'Waste of money!', 'date': '2025-04-30T09:41:02.053Z', 'reviewerName': 'Ella Cook', 'reviewerEmail': 'ella.cook@x.dummyjson.com'}, {'rating': 2, 'comment': 'Very dissatisfied!', 'date': '2025-04-30T09:41:02.053Z', 'reviewerName': 'Clara Berry', 'reviewerEmail': 'clara.berry@x.dummyjson.com'}, {'rating': 5, 'comment': 'Would buy again!', 'date': '2025-04-30T09:41:02.053Z', 'reviewerName': 'Elena Long', 'reviewerEmail': 'elena.long@x.dummyjson.com'}]</t>
  </si>
  <si>
    <t>60 days return policy</t>
  </si>
  <si>
    <t>Wooden Bathroom Sink With Mirror</t>
  </si>
  <si>
    <t>The Wooden Bathroom Sink with Mirror is a unique and stylish addition to your bathroom, featuring a wooden sink countertop and a matching mirror.</t>
  </si>
  <si>
    <t>['furniture', 'bathroom']</t>
  </si>
  <si>
    <t>Bath Trends</t>
  </si>
  <si>
    <t>[{'rating': 4, 'comment': 'Fast shipping!', 'date': '2025-04-30T09:41:02.053Z', 'reviewerName': 'Logan Torres', 'reviewerEmail': 'logan.torres@x.dummyjson.com'}, {'rating': 5, 'comment': 'Very pleased!', 'date': '2025-04-30T09:41:02.053Z', 'reviewerName': 'Aria Parker', 'reviewerEmail': 'aria.parker@x.dummyjson.com'}, {'rating': 3, 'comment': 'Poor quality!', 'date': '2025-04-30T09:41:02.053Z', 'reviewerName': 'Dylan Wells', 'reviewerEmail': 'dylan.wells@x.dummyjson.com'}]</t>
  </si>
  <si>
    <t>Apple</t>
  </si>
  <si>
    <t>Fresh and crisp apples, perfect for snacking or incorporating into various recipes.</t>
  </si>
  <si>
    <t>groceries</t>
  </si>
  <si>
    <t>['fruits']</t>
  </si>
  <si>
    <t>[{'rating': 5, 'comment': 'Very satisfied!', 'date': '2025-04-30T09:41:02.053Z', 'reviewerName': 'Sophia Brown', 'reviewerEmail': 'sophia.brown@x.dummyjson.com'}, {'rating': 1, 'comment': 'Very dissatisfied!', 'date': '2025-04-30T09:41:02.053Z', 'reviewerName': 'Scarlett Bowman', 'reviewerEmail': 'scarlett.bowman@x.dummyjson.com'}, {'rating': 3, 'comment': 'Very unhappy with my purchase!', 'date': '2025-04-30T09:41:02.053Z', 'reviewerName': 'William Gonzalez', 'reviewerEmail': 'william.gonzalez@x.dummyjson.com'}]</t>
  </si>
  <si>
    <t>Beef Steak</t>
  </si>
  <si>
    <t>High-quality beef steak, great for grilling or cooking to your preferred level of doneness.</t>
  </si>
  <si>
    <t>['meat']</t>
  </si>
  <si>
    <t>[{'rating': 3, 'comment': 'Would not recommend!', 'date': '2025-04-30T09:41:02.053Z', 'reviewerName': 'Eleanor Tyler', 'reviewerEmail': 'eleanor.tyler@x.dummyjson.com'}, {'rating': 4, 'comment': 'Fast shipping!', 'date': '2025-04-30T09:41:02.053Z', 'reviewerName': 'Alexander Jones', 'reviewerEmail': 'alexander.jones@x.dummyjson.com'}, {'rating': 5, 'comment': 'Great value for money!', 'date': '2025-04-30T09:41:02.053Z', 'reviewerName': 'Natalie Harris', 'reviewerEmail': 'natalie.harris@x.dummyjson.com'}]</t>
  </si>
  <si>
    <t>Cat Food</t>
  </si>
  <si>
    <t>Nutritious cat food formulated to meet the dietary needs of your feline friend.</t>
  </si>
  <si>
    <t>['pet supplies', 'cat food']</t>
  </si>
  <si>
    <t>[{'rating': 3, 'comment': 'Would not recommend!', 'date': '2025-04-30T09:41:02.053Z', 'reviewerName': 'Noah Lewis', 'reviewerEmail': 'noah.lewis@x.dummyjson.com'}, {'rating': 3, 'comment': 'Very unhappy with my purchase!', 'date': '2025-04-30T09:41:02.053Z', 'reviewerName': 'Ruby Andrews', 'reviewerEmail': 'ruby.andrews@x.dummyjson.com'}, {'rating': 2, 'comment': 'Very disappointed!', 'date': '2025-04-30T09:41:02.053Z', 'reviewerName': 'Ethan Thompson', 'reviewerEmail': 'ethan.thompson@x.dummyjson.com'}]</t>
  </si>
  <si>
    <t>Chicken Meat</t>
  </si>
  <si>
    <t>Fresh and tender chicken meat, suitable for various culinary preparations.</t>
  </si>
  <si>
    <t>[{'rating': 5, 'comment': 'Great product!', 'date': '2025-04-30T09:41:02.053Z', 'reviewerName': 'Mateo Bennett', 'reviewerEmail': 'mateo.bennett@x.dummyjson.com'}, {'rating': 4, 'comment': 'Highly recommended!', 'date': '2025-04-30T09:41:02.053Z', 'reviewerName': 'Jackson Evans', 'reviewerEmail': 'jackson.evans@x.dummyjson.com'}, {'rating': 3, 'comment': 'Not worth the price!', 'date': '2025-04-30T09:41:02.053Z', 'reviewerName': 'Sadie Morales', 'reviewerEmail': 'sadie.morales@x.dummyjson.com'}]</t>
  </si>
  <si>
    <t>Cooking Oil</t>
  </si>
  <si>
    <t>Versatile cooking oil suitable for frying, sautéing, and various culinary applications.</t>
  </si>
  <si>
    <t>['cooking essentials']</t>
  </si>
  <si>
    <t>[{'rating': 5, 'comment': 'Very happy with my purchase!', 'date': '2025-04-30T09:41:02.053Z', 'reviewerName': 'Victoria McDonald', 'reviewerEmail': 'victoria.mcdonald@x.dummyjson.com'}, {'rating': 2, 'comment': 'Would not recommend!', 'date': '2025-04-30T09:41:02.053Z', 'reviewerName': 'Hazel Evans', 'reviewerEmail': 'hazel.evans@x.dummyjson.com'}, {'rating': 5, 'comment': 'Would buy again!', 'date': '2025-04-30T09:41:02.053Z', 'reviewerName': 'Zoe Bennett', 'reviewerEmail': 'zoe.bennett@x.dummyjson.com'}]</t>
  </si>
  <si>
    <t>30 days return policy</t>
  </si>
  <si>
    <t>Cucumber</t>
  </si>
  <si>
    <t>Crisp and hydrating cucumbers, ideal for salads, snacks, or as a refreshing side.</t>
  </si>
  <si>
    <t>['vegetables']</t>
  </si>
  <si>
    <t>[{'rating': 4, 'comment': 'Great product!', 'date': '2025-04-30T09:41:02.053Z', 'reviewerName': 'Lincoln Kelly', 'reviewerEmail': 'lincoln.kelly@x.dummyjson.com'}, {'rating': 4, 'comment': 'Great value for money!', 'date': '2025-04-30T09:41:02.053Z', 'reviewerName': 'Savannah Gomez', 'reviewerEmail': 'savannah.gomez@x.dummyjson.com'}, {'rating': 2, 'comment': 'Poor quality!', 'date': '2025-04-30T09:41:02.053Z', 'reviewerName': 'James Davis', 'reviewerEmail': 'james.davis@x.dummyjson.com'}]</t>
  </si>
  <si>
    <t>Dog Food</t>
  </si>
  <si>
    <t>Specially formulated dog food designed to provide essential nutrients for your canine companion.</t>
  </si>
  <si>
    <t>['pet supplies', 'dog food']</t>
  </si>
  <si>
    <t>No warranty</t>
  </si>
  <si>
    <t>[{'rating': 5, 'comment': 'Excellent quality!', 'date': '2025-04-30T09:41:02.053Z', 'reviewerName': 'Nicholas Edwards', 'reviewerEmail': 'nicholas.edwards@x.dummyjson.com'}, {'rating': 5, 'comment': 'Awesome product!', 'date': '2025-04-30T09:41:02.053Z', 'reviewerName': 'Zachary Lee', 'reviewerEmail': 'zachary.lee@x.dummyjson.com'}, {'rating': 4, 'comment': 'Great product!', 'date': '2025-04-30T09:41:02.053Z', 'reviewerName': 'Nova Cooper', 'reviewerEmail': 'nova.cooper@x.dummyjson.com'}]</t>
  </si>
  <si>
    <t>Eggs</t>
  </si>
  <si>
    <t>Fresh eggs, a versatile ingredient for baking, cooking, or breakfast.</t>
  </si>
  <si>
    <t>['dairy']</t>
  </si>
  <si>
    <t>[{'rating': 3, 'comment': 'Disappointing product!', 'date': '2025-04-30T09:41:02.053Z', 'reviewerName': 'Penelope King', 'reviewerEmail': 'penelope.king@x.dummyjson.com'}, {'rating': 3, 'comment': 'Poor quality!', 'date': '2025-04-30T09:41:02.053Z', 'reviewerName': 'Eleanor Tyler', 'reviewerEmail': 'eleanor.tyler@x.dummyjson.com'}, {'rating': 4, 'comment': 'Very pleased!', 'date': '2025-04-30T09:41:02.053Z', 'reviewerName': 'Benjamin Foster', 'reviewerEmail': 'benjamin.foster@x.dummyjson.com'}]</t>
  </si>
  <si>
    <t>Fish Steak</t>
  </si>
  <si>
    <t>Quality fish steak, suitable for grilling, baking, or pan-searing.</t>
  </si>
  <si>
    <t>['seafood']</t>
  </si>
  <si>
    <t>[{'rating': 2, 'comment': 'Would not buy again!', 'date': '2025-04-30T09:41:02.053Z', 'reviewerName': 'Caleb Perkins', 'reviewerEmail': 'caleb.perkins@x.dummyjson.com'}, {'rating': 5, 'comment': 'Excellent quality!', 'date': '2025-04-30T09:41:02.053Z', 'reviewerName': 'Isabella Jackson', 'reviewerEmail': 'isabella.jackson@x.dummyjson.com'}, {'rating': 4, 'comment': 'Great value for money!', 'date': '2025-04-30T09:41:02.053Z', 'reviewerName': 'Nathan Dixon', 'reviewerEmail': 'nathan.dixon@x.dummyjson.com'}]</t>
  </si>
  <si>
    <t>Green Bell Pepper</t>
  </si>
  <si>
    <t>Fresh and vibrant green bell pepper, perfect for adding color and flavor to your dishes.</t>
  </si>
  <si>
    <t>[{'rating': 4, 'comment': 'Highly recommended!', 'date': '2025-04-30T09:41:02.053Z', 'reviewerName': 'Avery Carter', 'reviewerEmail': 'avery.carter@x.dummyjson.com'}, {'rating': 3, 'comment': 'Would not recommend!', 'date': '2025-04-30T09:41:02.053Z', 'reviewerName': 'Henry Hill', 'reviewerEmail': 'henry.hill@x.dummyjson.com'}, {'rating': 5, 'comment': 'Excellent quality!', 'date': '2025-04-30T09:41:02.053Z', 'reviewerName': 'Addison Wright', 'reviewerEmail': 'addison.wright@x.dummyjson.com'}]</t>
  </si>
  <si>
    <t>Green Chili Pepper</t>
  </si>
  <si>
    <t>Spicy green chili pepper, ideal for adding heat to your favorite recipes.</t>
  </si>
  <si>
    <t>[{'rating': 4, 'comment': 'Great product!', 'date': '2025-04-30T09:41:02.053Z', 'reviewerName': 'Luna Russell', 'reviewerEmail': 'luna.russell@x.dummyjson.com'}, {'rating': 1, 'comment': 'Waste of money!', 'date': '2025-04-30T09:41:02.053Z', 'reviewerName': 'Noah Lewis', 'reviewerEmail': 'noah.lewis@x.dummyjson.com'}, {'rating': 3, 'comment': 'Very disappointed!', 'date': '2025-04-30T09:41:02.053Z', 'reviewerName': 'Clara Berry', 'reviewerEmail': 'clara.berry@x.dummyjson.com'}]</t>
  </si>
  <si>
    <t>Honey Jar</t>
  </si>
  <si>
    <t>Pure and natural honey in a convenient jar, perfect for sweetening beverages or drizzling over food.</t>
  </si>
  <si>
    <t>['condiments']</t>
  </si>
  <si>
    <t>[{'rating': 1, 'comment': 'Very disappointed!', 'date': '2025-04-30T09:41:02.053Z', 'reviewerName': 'Autumn Gomez', 'reviewerEmail': 'autumn.gomez@x.dummyjson.com'}, {'rating': 4, 'comment': 'Highly impressed!', 'date': '2025-04-30T09:41:02.053Z', 'reviewerName': 'Benjamin Wilson', 'reviewerEmail': 'benjamin.wilson@x.dummyjson.com'}, {'rating': 2, 'comment': 'Very disappointed!', 'date': '2025-04-30T09:41:02.053Z', 'reviewerName': 'Nicholas Edwards', 'reviewerEmail': 'nicholas.edwards@x.dummyjson.com'}]</t>
  </si>
  <si>
    <t>Ice Cream</t>
  </si>
  <si>
    <t>Creamy and delicious ice cream, available in various flavors for a delightful treat.</t>
  </si>
  <si>
    <t>['desserts']</t>
  </si>
  <si>
    <t>[{'rating': 5, 'comment': 'Very pleased!', 'date': '2025-04-30T09:41:02.053Z', 'reviewerName': 'Elijah Cruz', 'reviewerEmail': 'elijah.cruz@x.dummyjson.com'}, {'rating': 4, 'comment': 'Excellent quality!', 'date': '2025-04-30T09:41:02.053Z', 'reviewerName': 'Jace Smith', 'reviewerEmail': 'jace.smith@x.dummyjson.com'}, {'rating': 5, 'comment': 'Highly impressed!', 'date': '2025-04-30T09:41:02.053Z', 'reviewerName': 'Sadie Morales', 'reviewerEmail': 'sadie.morales@x.dummyjson.com'}]</t>
  </si>
  <si>
    <t>Juice</t>
  </si>
  <si>
    <t>Refreshing fruit juice, packed with vitamins and great for staying hydrated.</t>
  </si>
  <si>
    <t>['beverages']</t>
  </si>
  <si>
    <t>[{'rating': 5, 'comment': 'Excellent quality!', 'date': '2025-04-30T09:41:02.053Z', 'reviewerName': 'Nolan Gonzalez', 'reviewerEmail': 'nolan.gonzalez@x.dummyjson.com'}, {'rating': 4, 'comment': 'Would buy again!', 'date': '2025-04-30T09:41:02.053Z', 'reviewerName': 'Bella Grant', 'reviewerEmail': 'bella.grant@x.dummyjson.com'}, {'rating': 5, 'comment': 'Awesome product!', 'date': '2025-04-30T09:41:02.053Z', 'reviewerName': 'Aria Flores', 'reviewerEmail': 'aria.flores@x.dummyjson.com'}]</t>
  </si>
  <si>
    <t>Kiwi</t>
  </si>
  <si>
    <t>Nutrient-rich kiwi, perfect for snacking or adding a tropical twist to your dishes.</t>
  </si>
  <si>
    <t>[{'rating': 4, 'comment': 'Highly recommended!', 'date': '2025-04-30T09:41:02.053Z', 'reviewerName': 'Emily Brown', 'reviewerEmail': 'emily.brown@x.dummyjson.com'}, {'rating': 2, 'comment': 'Would not buy again!', 'date': '2025-04-30T09:41:02.053Z', 'reviewerName': 'Jackson Morales', 'reviewerEmail': 'jackson.morales@x.dummyjson.com'}, {'rating': 4, 'comment': 'Fast shipping!', 'date': '2025-04-30T09:41:02.053Z', 'reviewerName': 'Nora Russell', 'reviewerEmail': 'nora.russell@x.dummyjson.com'}]</t>
  </si>
  <si>
    <t>Lemon</t>
  </si>
  <si>
    <t>Zesty and tangy lemons, versatile for cooking, baking, or making refreshing beverages.</t>
  </si>
  <si>
    <t>[{'rating': 5, 'comment': 'Awesome product!', 'date': '2025-04-30T09:41:02.053Z', 'reviewerName': 'Logan Lawson', 'reviewerEmail': 'logan.lawson@x.dummyjson.com'}, {'rating': 5, 'comment': 'Highly impressed!', 'date': '2025-04-30T09:41:02.053Z', 'reviewerName': 'Avery Perez', 'reviewerEmail': 'avery.perez@x.dummyjson.com'}, {'rating': 5, 'comment': 'Very satisfied!', 'date': '2025-04-30T09:41:02.053Z', 'reviewerName': 'Benjamin Foster', 'reviewerEmail': 'benjamin.foster@x.dummyjson.com'}]</t>
  </si>
  <si>
    <t>Milk</t>
  </si>
  <si>
    <t>Fresh and nutritious milk, a staple for various recipes and daily consumption.</t>
  </si>
  <si>
    <t>[{'rating': 4, 'comment': 'Very satisfied!', 'date': '2025-04-30T09:41:02.053Z', 'reviewerName': 'Nicholas Bailey', 'reviewerEmail': 'nicholas.bailey@x.dummyjson.com'}, {'rating': 3, 'comment': 'Would not buy again!', 'date': '2025-04-30T09:41:02.053Z', 'reviewerName': 'Harper Turner', 'reviewerEmail': 'harper.turner@x.dummyjson.com'}, {'rating': 5, 'comment': 'Great value for money!', 'date': '2025-04-30T09:41:02.053Z', 'reviewerName': 'Autumn Gomez', 'reviewerEmail': 'autumn.gomez@x.dummyjson.com'}]</t>
  </si>
  <si>
    <t>Mulberry</t>
  </si>
  <si>
    <t>Sweet and juicy mulberries, perfect for snacking or adding to desserts and cereals.</t>
  </si>
  <si>
    <t>[{'rating': 5, 'comment': 'Fast shipping!', 'date': '2025-04-30T09:41:02.053Z', 'reviewerName': 'Avery Barnes', 'reviewerEmail': 'avery.barnes@x.dummyjson.com'}, {'rating': 2, 'comment': 'Not worth the price!', 'date': '2025-04-30T09:41:02.053Z', 'reviewerName': 'Sadie Morales', 'reviewerEmail': 'sadie.morales@x.dummyjson.com'}, {'rating': 1, 'comment': 'Would not buy again!', 'date': '2025-04-30T09:41:02.053Z', 'reviewerName': 'Oscar Powers', 'reviewerEmail': 'oscar.powers@x.dummyjson.com'}]</t>
  </si>
  <si>
    <t>Nescafe Coffee</t>
  </si>
  <si>
    <t>Quality coffee from Nescafe, available in various blends for a rich and satisfying cup.</t>
  </si>
  <si>
    <t>['beverages', 'coffee']</t>
  </si>
  <si>
    <t>[{'rating': 5, 'comment': 'Very pleased!', 'date': '2025-04-30T09:41:02.053Z', 'reviewerName': 'Gabriel Adams', 'reviewerEmail': 'gabriel.adams@x.dummyjson.com'}, {'rating': 5, 'comment': 'Highly recommended!', 'date': '2025-04-30T09:41:02.053Z', 'reviewerName': 'Ella Cook', 'reviewerEmail': 'ella.cook@x.dummyjson.com'}, {'rating': 4, 'comment': 'Would buy again!', 'date': '2025-04-30T09:41:02.053Z', 'reviewerName': 'Logan Torres', 'reviewerEmail': 'logan.torres@x.dummyjson.com'}]</t>
  </si>
  <si>
    <t>Potatoes</t>
  </si>
  <si>
    <t>Versatile and starchy potatoes, great for roasting, mashing, or as a side dish.</t>
  </si>
  <si>
    <t>[{'rating': 5, 'comment': 'Highly impressed!', 'date': '2025-04-30T09:41:02.053Z', 'reviewerName': 'Eleanor Collins', 'reviewerEmail': 'eleanor.collins@x.dummyjson.com'}, {'rating': 4, 'comment': 'Fast shipping!', 'date': '2025-04-30T09:41:02.053Z', 'reviewerName': 'Lily Torres', 'reviewerEmail': 'lily.torres@x.dummyjson.com'}, {'rating': 5, 'comment': 'Highly recommended!', 'date': '2025-04-30T09:41:02.053Z', 'reviewerName': 'Ariana Ross', 'reviewerEmail': 'ariana.ross@x.dummyjson.com'}]</t>
  </si>
  <si>
    <t>Protein Powder</t>
  </si>
  <si>
    <t>Nutrient-packed protein powder, ideal for supplementing your diet with essential proteins.</t>
  </si>
  <si>
    <t>['health supplements']</t>
  </si>
  <si>
    <t>[{'rating': 3, 'comment': 'Very unhappy with my purchase!', 'date': '2025-04-30T09:41:02.053Z', 'reviewerName': 'Aurora Rodriguez', 'reviewerEmail': 'aurora.rodriguez@x.dummyjson.com'}, {'rating': 4, 'comment': 'Would buy again!', 'date': '2025-04-30T09:41:02.053Z', 'reviewerName': 'Miles Stevenson', 'reviewerEmail': 'miles.stevenson@x.dummyjson.com'}, {'rating': 4, 'comment': 'Very happy with my purchase!', 'date': '2025-04-30T09:41:02.053Z', 'reviewerName': 'Clara Berry', 'reviewerEmail': 'clara.berry@x.dummyjson.com'}]</t>
  </si>
  <si>
    <t>Red Onions</t>
  </si>
  <si>
    <t>Flavorful and aromatic red onions, perfect for adding depth to your savory dishes.</t>
  </si>
  <si>
    <t>[{'rating': 4, 'comment': 'Fast shipping!', 'date': '2025-04-30T09:41:02.053Z', 'reviewerName': 'Maya Reed', 'reviewerEmail': 'maya.reed@x.dummyjson.com'}, {'rating': 3, 'comment': 'Very dissatisfied!', 'date': '2025-04-30T09:41:02.053Z', 'reviewerName': 'Evelyn Gonzalez', 'reviewerEmail': 'evelyn.gonzalez@x.dummyjson.com'}, {'rating': 5, 'comment': 'Awesome product!', 'date': '2025-04-30T09:41:02.053Z', 'reviewerName': 'Jackson Evans', 'reviewerEmail': 'jackson.evans@x.dummyjson.com'}]</t>
  </si>
  <si>
    <t>Rice</t>
  </si>
  <si>
    <t>High-quality rice, a staple for various cuisines and a versatile base for many dishes.</t>
  </si>
  <si>
    <t>['grains']</t>
  </si>
  <si>
    <t>[{'rating': 5, 'comment': 'Would buy again!', 'date': '2025-04-30T09:41:02.053Z', 'reviewerName': 'Sophia Brown', 'reviewerEmail': 'sophia.brown@x.dummyjson.com'}, {'rating': 4, 'comment': 'Very satisfied!', 'date': '2025-04-30T09:41:02.053Z', 'reviewerName': 'Grace Perry', 'reviewerEmail': 'grace.perry@x.dummyjson.com'}, {'rating': 1, 'comment': 'Very disappointed!', 'date': '2025-04-30T09:41:02.053Z', 'reviewerName': 'Cameron Burke', 'reviewerEmail': 'cameron.burke@x.dummyjson.com'}]</t>
  </si>
  <si>
    <t>Soft Drinks</t>
  </si>
  <si>
    <t>Assorted soft drinks in various flavors, perfect for refreshing beverages.</t>
  </si>
  <si>
    <t>[{'rating': 2, 'comment': 'Would not recommend!', 'date': '2025-04-30T09:41:02.053Z', 'reviewerName': 'Zachary Lee', 'reviewerEmail': 'zachary.lee@x.dummyjson.com'}, {'rating': 2, 'comment': 'Would not recommend!', 'date': '2025-04-30T09:41:02.053Z', 'reviewerName': 'Oscar Powers', 'reviewerEmail': 'oscar.powers@x.dummyjson.com'}, {'rating': 5, 'comment': 'Highly recommended!', 'date': '2025-04-30T09:41:02.053Z', 'reviewerName': 'Hannah Robinson', 'reviewerEmail': 'hannah.robinson@x.dummyjson.com'}]</t>
  </si>
  <si>
    <t>Strawberry</t>
  </si>
  <si>
    <t>Sweet and succulent strawberries, great for snacking, desserts, or blending into smoothies.</t>
  </si>
  <si>
    <t>[{'rating': 3, 'comment': 'Would not buy again!', 'date': '2025-04-30T09:41:02.053Z', 'reviewerName': 'Amelia Perez', 'reviewerEmail': 'amelia.perez@x.dummyjson.com'}, {'rating': 3, 'comment': 'Would not buy again!', 'date': '2025-04-30T09:41:02.053Z', 'reviewerName': 'Olivia Wilson', 'reviewerEmail': 'olivia.wilson@x.dummyjson.com'}, {'rating': 4, 'comment': 'Would buy again!', 'date': '2025-04-30T09:41:02.053Z', 'reviewerName': 'Hunter Gordon', 'reviewerEmail': 'hunter.gordon@x.dummyjson.com'}]</t>
  </si>
  <si>
    <t>Tissue Paper Box</t>
  </si>
  <si>
    <t>Convenient tissue paper box for everyday use, providing soft and absorbent tissues.</t>
  </si>
  <si>
    <t>['household essentials']</t>
  </si>
  <si>
    <t>[{'rating': 1, 'comment': 'Not as described!', 'date': '2025-04-30T09:41:02.053Z', 'reviewerName': 'Ariana Ross', 'reviewerEmail': 'ariana.ross@x.dummyjson.com'}, {'rating': 5, 'comment': 'Fast shipping!', 'date': '2025-04-30T09:41:02.053Z', 'reviewerName': 'Carter Baker', 'reviewerEmail': 'carter.baker@x.dummyjson.com'}, {'rating': 5, 'comment': 'Great value for money!', 'date': '2025-04-30T09:41:02.053Z', 'reviewerName': 'Penelope Harper', 'reviewerEmail': 'penelope.harper@x.dummyjson.com'}]</t>
  </si>
  <si>
    <t>Water</t>
  </si>
  <si>
    <t>Pure and refreshing bottled water, essential for staying hydrated throughout the day.</t>
  </si>
  <si>
    <t>[{'rating': 5, 'comment': 'Highly impressed!', 'date': '2025-04-30T09:41:02.053Z', 'reviewerName': 'Jonathan Pierce', 'reviewerEmail': 'jonathan.pierce@x.dummyjson.com'}, {'rating': 2, 'comment': 'Would not recommend!', 'date': '2025-04-30T09:41:02.053Z', 'reviewerName': 'Grayson Coleman', 'reviewerEmail': 'grayson.coleman@x.dummyjson.com'}, {'rating': 3, 'comment': 'Not as described!', 'date': '2025-04-30T09:41:02.053Z', 'reviewerName': 'Ethan Fletcher', 'reviewerEmail': 'ethan.fletcher@x.dummyjson.com'}]</t>
  </si>
  <si>
    <t>Decoration Swing</t>
  </si>
  <si>
    <t>The Decoration Swing is a charming addition to your home decor. Crafted with intricate details, it adds a touch of elegance and whimsy to any room.</t>
  </si>
  <si>
    <t>home-decoration</t>
  </si>
  <si>
    <t>['home decor', 'swing']</t>
  </si>
  <si>
    <t>[{'rating': 1, 'comment': 'Would not buy again!', 'date': '2025-04-30T09:41:02.053Z', 'reviewerName': 'Daniel Cook', 'reviewerEmail': 'daniel.cook@x.dummyjson.com'}, {'rating': 2, 'comment': 'Poor quality!', 'date': '2025-04-30T09:41:02.053Z', 'reviewerName': 'Hunter Gordon', 'reviewerEmail': 'hunter.gordon@x.dummyjson.com'}, {'rating': 3, 'comment': 'Very unhappy with my purchase!', 'date': '2025-04-30T09:41:02.053Z', 'reviewerName': 'Stella Morris', 'reviewerEmail': 'stella.morris@x.dummyjson.com'}]</t>
  </si>
  <si>
    <t>Family Tree Photo Frame</t>
  </si>
  <si>
    <t>The Family Tree Photo Frame is a sentimental and stylish way to display your cherished family memories. With multiple photo slots, it tells the story of your loved ones.</t>
  </si>
  <si>
    <t>['home decor', 'photo frame']</t>
  </si>
  <si>
    <t>[{'rating': 4, 'comment': 'Highly impressed!', 'date': '2025-04-30T09:41:02.053Z', 'reviewerName': 'Oscar Powers', 'reviewerEmail': 'oscar.powers@x.dummyjson.com'}, {'rating': 5, 'comment': 'Excellent quality!', 'date': '2025-04-30T09:41:02.053Z', 'reviewerName': 'Austin Hudson', 'reviewerEmail': 'austin.hudson@x.dummyjson.com'}, {'rating': 2, 'comment': 'Very dissatisfied!', 'date': '2025-04-30T09:41:02.053Z', 'reviewerName': 'Luke Cooper', 'reviewerEmail': 'luke.cooper@x.dummyjson.com'}]</t>
  </si>
  <si>
    <t>House Showpiece Plant</t>
  </si>
  <si>
    <t>The House Showpiece Plant is an artificial plant that brings a touch of nature to your home without the need for maintenance. It adds greenery and style to any space.</t>
  </si>
  <si>
    <t>['home decor', 'artificial plants']</t>
  </si>
  <si>
    <t>[{'rating': 5, 'comment': 'Very happy with my purchase!', 'date': '2025-04-30T09:41:02.053Z', 'reviewerName': 'Natalie Harris', 'reviewerEmail': 'natalie.harris@x.dummyjson.com'}, {'rating': 1, 'comment': 'Poor quality!', 'date': '2025-04-30T09:41:02.053Z', 'reviewerName': 'Max Russell', 'reviewerEmail': 'max.russell@x.dummyjson.com'}, {'rating': 5, 'comment': 'Very pleased!', 'date': '2025-04-30T09:41:02.053Z', 'reviewerName': 'Nolan Gonzalez', 'reviewerEmail': 'nolan.gonzalez@x.dummyjson.com'}]</t>
  </si>
  <si>
    <t>Plant Pot</t>
  </si>
  <si>
    <t>The Plant Pot is a stylish container for your favorite plants. With a sleek design, it complements your indoor or outdoor garden, adding a modern touch to your plant display.</t>
  </si>
  <si>
    <t>['home decor', 'plant accessories']</t>
  </si>
  <si>
    <t>[{'rating': 4, 'comment': 'Fast shipping!', 'date': '2025-04-30T09:41:02.053Z', 'reviewerName': 'Vivian Carter', 'reviewerEmail': 'vivian.carter@x.dummyjson.com'}, {'rating': 5, 'comment': 'Very satisfied!', 'date': '2025-04-30T09:41:02.053Z', 'reviewerName': 'Ella Adams', 'reviewerEmail': 'ella.adams@x.dummyjson.com'}, {'rating': 3, 'comment': 'Poor quality!', 'date': '2025-04-30T09:41:02.053Z', 'reviewerName': 'Liam Smith', 'reviewerEmail': 'liam.smith@x.dummyjson.com'}]</t>
  </si>
  <si>
    <t>Table Lamp</t>
  </si>
  <si>
    <t>The Table Lamp is a functional and decorative lighting solution for your living space. With a modern design, it provides both ambient and task lighting, enhancing the atmosphere.</t>
  </si>
  <si>
    <t>['home decor', 'lighting']</t>
  </si>
  <si>
    <t>[{'rating': 5, 'comment': 'Excellent quality!', 'date': '2025-04-30T09:41:02.053Z', 'reviewerName': 'Benjamin Foster', 'reviewerEmail': 'benjamin.foster@x.dummyjson.com'}, {'rating': 3, 'comment': 'Would not recommend!', 'date': '2025-04-30T09:41:02.053Z', 'reviewerName': 'Sophia Jones', 'reviewerEmail': 'sophia.jones@x.dummyjson.com'}, {'rating': 5, 'comment': 'Awesome product!', 'date': '2025-04-30T09:41:02.053Z', 'reviewerName': 'Natalie Harris', 'reviewerEmail': 'natalie.harris@x.dummyjson.com'}]</t>
  </si>
  <si>
    <t>Bamboo Spatula</t>
  </si>
  <si>
    <t>The Bamboo Spatula is a versatile kitchen tool made from eco-friendly bamboo. Ideal for flipping, stirring, and serving various dishes.</t>
  </si>
  <si>
    <t>kitchen-accessories</t>
  </si>
  <si>
    <t>['kitchen tools', 'utensils']</t>
  </si>
  <si>
    <t>[{'rating': 5, 'comment': 'Awesome product!', 'date': '2025-04-30T09:41:02.053Z', 'reviewerName': 'Lucas Ramirez', 'reviewerEmail': 'lucas.ramirez@x.dummyjson.com'}, {'rating': 5, 'comment': 'Highly recommended!', 'date': '2025-04-30T09:41:02.053Z', 'reviewerName': 'Caleb Perkins', 'reviewerEmail': 'caleb.perkins@x.dummyjson.com'}, {'rating': 4, 'comment': 'Highly recommended!', 'date': '2025-04-30T09:41:02.053Z', 'reviewerName': 'Nolan Gonzalez', 'reviewerEmail': 'nolan.gonzalez@x.dummyjson.com'}]</t>
  </si>
  <si>
    <t>Black Aluminium Cup</t>
  </si>
  <si>
    <t>The Black Aluminium Cup is a stylish and durable cup suitable for both hot and cold beverages. Its sleek black design adds a modern touch to your drinkware collection.</t>
  </si>
  <si>
    <t>['drinkware', 'cups']</t>
  </si>
  <si>
    <t>[{'rating': 3, 'comment': 'Very disappointed!', 'date': '2025-04-30T09:41:02.053Z', 'reviewerName': 'Alexander Hernandez', 'reviewerEmail': 'alexander.hernandez@x.dummyjson.com'}, {'rating': 5, 'comment': 'Great value for money!', 'date': '2025-04-30T09:41:02.053Z', 'reviewerName': 'Aurora Rodriguez', 'reviewerEmail': 'aurora.rodriguez@x.dummyjson.com'}, {'rating': 1, 'comment': 'Not worth the price!', 'date': '2025-04-30T09:41:02.053Z', 'reviewerName': 'Benjamin Foster', 'reviewerEmail': 'benjamin.foster@x.dummyjson.com'}]</t>
  </si>
  <si>
    <t>Black Whisk</t>
  </si>
  <si>
    <t>The Black Whisk is a kitchen essential for whisking and beating ingredients. Its ergonomic handle and sleek design make it a practical and stylish tool.</t>
  </si>
  <si>
    <t>[{'rating': 3, 'comment': 'Not worth the price!', 'date': '2025-04-30T09:41:02.053Z', 'reviewerName': 'Cameron Perez', 'reviewerEmail': 'cameron.perez@x.dummyjson.com'}, {'rating': 1, 'comment': 'Waste of money!', 'date': '2025-04-30T09:41:02.053Z', 'reviewerName': 'Benjamin Foster', 'reviewerEmail': 'benjamin.foster@x.dummyjson.com'}, {'rating': 5, 'comment': 'Very pleased!', 'date': '2025-04-30T09:41:02.053Z', 'reviewerName': 'Paisley Bell', 'reviewerEmail': 'paisley.bell@x.dummyjson.com'}]</t>
  </si>
  <si>
    <t>Boxed Blender</t>
  </si>
  <si>
    <t>The Boxed Blender is a powerful and compact blender perfect for smoothies, shakes, and more. Its convenient design and multiple functions make it a versatile kitchen appliance.</t>
  </si>
  <si>
    <t>['kitchen appliances', 'blenders']</t>
  </si>
  <si>
    <t>[{'rating': 5, 'comment': 'Very pleased!', 'date': '2025-04-30T09:41:02.053Z', 'reviewerName': 'Ella Adams', 'reviewerEmail': 'ella.adams@x.dummyjson.com'}, {'rating': 5, 'comment': 'Would buy again!', 'date': '2025-04-30T09:41:02.053Z', 'reviewerName': 'Ruby Andrews', 'reviewerEmail': 'ruby.andrews@x.dummyjson.com'}, {'rating': 5, 'comment': 'Very happy with my purchase!', 'date': '2025-04-30T09:41:02.053Z', 'reviewerName': 'Aurora Lawson', 'reviewerEmail': 'aurora.lawson@x.dummyjson.com'}]</t>
  </si>
  <si>
    <t>Carbon Steel Wok</t>
  </si>
  <si>
    <t>The Carbon Steel Wok is a versatile cooking pan suitable for stir-frying, sautéing, and deep frying. Its sturdy construction ensures even heat distribution for delicious meals.</t>
  </si>
  <si>
    <t>['cookware', 'woks']</t>
  </si>
  <si>
    <t>[{'rating': 4, 'comment': 'Excellent quality!', 'date': '2025-04-30T09:41:02.053Z', 'reviewerName': 'Nolan Bryant', 'reviewerEmail': 'nolan.bryant@x.dummyjson.com'}, {'rating': 4, 'comment': 'Highly impressed!', 'date': '2025-04-30T09:41:02.053Z', 'reviewerName': 'Luna Perez', 'reviewerEmail': 'luna.perez@x.dummyjson.com'}, {'rating': 5, 'comment': 'Very satisfied!', 'date': '2025-04-30T09:41:02.053Z', 'reviewerName': 'Noah Lewis', 'reviewerEmail': 'noah.lewis@x.dummyjson.com'}]</t>
  </si>
  <si>
    <t>Chopping Board</t>
  </si>
  <si>
    <t>The Chopping Board is an essential kitchen accessory for food preparation. Made from durable material, it provides a safe and hygienic surface for cutting and chopping.</t>
  </si>
  <si>
    <t>['kitchen tools', 'cutting boards']</t>
  </si>
  <si>
    <t>[{'rating': 5, 'comment': 'Great value for money!', 'date': '2025-04-30T09:41:02.053Z', 'reviewerName': 'Xavier Wright', 'reviewerEmail': 'xavier.wright@x.dummyjson.com'}, {'rating': 4, 'comment': 'Great value for money!', 'date': '2025-04-30T09:41:02.053Z', 'reviewerName': 'Henry Turner', 'reviewerEmail': 'henry.turner@x.dummyjson.com'}, {'rating': 4, 'comment': 'Fast shipping!', 'date': '2025-04-30T09:41:02.053Z', 'reviewerName': 'Evelyn Walker', 'reviewerEmail': 'evelyn.walker@x.dummyjson.com'}]</t>
  </si>
  <si>
    <t>Citrus Squeezer Yellow</t>
  </si>
  <si>
    <t>The Citrus Squeezer in Yellow is a handy tool for extracting juice from citrus fruits. Its vibrant color adds a cheerful touch to your kitchen gadgets.</t>
  </si>
  <si>
    <t>['kitchen tools', 'juicers']</t>
  </si>
  <si>
    <t>[{'rating': 4, 'comment': 'Highly recommended!', 'date': '2025-04-30T09:41:02.053Z', 'reviewerName': 'Lucas Ramirez', 'reviewerEmail': 'lucas.ramirez@x.dummyjson.com'}, {'rating': 4, 'comment': 'Great product!', 'date': '2025-04-30T09:41:02.053Z', 'reviewerName': 'Eleanor Collins', 'reviewerEmail': 'eleanor.collins@x.dummyjson.com'}, {'rating': 5, 'comment': 'Highly impressed!', 'date': '2025-04-30T09:41:02.053Z', 'reviewerName': 'Mila Hernandez', 'reviewerEmail': 'mila.hernandez@x.dummyjson.com'}]</t>
  </si>
  <si>
    <t>Egg Slicer</t>
  </si>
  <si>
    <t>The Egg Slicer is a convenient tool for slicing boiled eggs evenly. It's perfect for salads, sandwiches, and other dishes where sliced eggs are desired.</t>
  </si>
  <si>
    <t>['kitchen tools', 'slicers']</t>
  </si>
  <si>
    <t>[{'rating': 3, 'comment': 'Very dissatisfied!', 'date': '2025-04-30T09:41:02.053Z', 'reviewerName': 'Harper Garcia', 'reviewerEmail': 'harper.garcia@x.dummyjson.com'}, {'rating': 4, 'comment': 'Very happy with my purchase!', 'date': '2025-04-30T09:41:02.053Z', 'reviewerName': 'Lily Torres', 'reviewerEmail': 'lily.torres@x.dummyjson.com'}, {'rating': 1, 'comment': 'Not worth the price!', 'date': '2025-04-30T09:41:02.053Z', 'reviewerName': 'Tyler Davis', 'reviewerEmail': 'tyler.davis@x.dummyjson.com'}]</t>
  </si>
  <si>
    <t>Electric Stove</t>
  </si>
  <si>
    <t>The Electric Stove provides a portable and efficient cooking solution. Ideal for small kitchens or as an additional cooking surface for various culinary needs.</t>
  </si>
  <si>
    <t>['kitchen appliances', 'cooktops']</t>
  </si>
  <si>
    <t>[{'rating': 1, 'comment': 'Would not recommend!', 'date': '2025-04-30T09:41:02.053Z', 'reviewerName': 'Ava Harris', 'reviewerEmail': 'ava.harris@x.dummyjson.com'}, {'rating': 2, 'comment': 'Very dissatisfied!', 'date': '2025-04-30T09:41:02.053Z', 'reviewerName': 'Liam Smith', 'reviewerEmail': 'liam.smith@x.dummyjson.com'}, {'rating': 4, 'comment': 'Very pleased!', 'date': '2025-04-30T09:41:02.053Z', 'reviewerName': 'Christian Perez', 'reviewerEmail': 'christian.perez@x.dummyjson.com'}]</t>
  </si>
  <si>
    <t>Fine Mesh Strainer</t>
  </si>
  <si>
    <t>The Fine Mesh Strainer is a versatile tool for straining liquids and sifting dry ingredients. Its fine mesh ensures efficient filtering for smooth cooking and baking.</t>
  </si>
  <si>
    <t>['kitchen tools', 'strainers']</t>
  </si>
  <si>
    <t>[{'rating': 5, 'comment': 'Very pleased!', 'date': '2025-04-30T09:41:02.053Z', 'reviewerName': 'Isabella Anderson', 'reviewerEmail': 'isabella.anderson@x.dummyjson.com'}, {'rating': 4, 'comment': 'Highly impressed!', 'date': '2025-04-30T09:41:02.053Z', 'reviewerName': 'Aaliyah Hanson', 'reviewerEmail': 'aaliyah.hanson@x.dummyjson.com'}, {'rating': 2, 'comment': 'Would not recommend!', 'date': '2025-04-30T09:41:02.053Z', 'reviewerName': 'Layla Sullivan', 'reviewerEmail': 'layla.sullivan@x.dummyjson.com'}]</t>
  </si>
  <si>
    <t>Fork</t>
  </si>
  <si>
    <t>The Fork is a classic utensil for various dining and serving purposes. Its durable and ergonomic design makes it a reliable choice for everyday use.</t>
  </si>
  <si>
    <t>[{'rating': 5, 'comment': 'Highly impressed!', 'date': '2025-04-30T09:41:02.053Z', 'reviewerName': 'Elena Baker', 'reviewerEmail': 'elena.baker@x.dummyjson.com'}, {'rating': 5, 'comment': 'Very satisfied!', 'date': '2025-04-30T09:41:02.053Z', 'reviewerName': 'Avery Scott', 'reviewerEmail': 'avery.scott@x.dummyjson.com'}, {'rating': 2, 'comment': 'Would not buy again!', 'date': '2025-04-30T09:41:02.053Z', 'reviewerName': 'Mateo Perez', 'reviewerEmail': 'mateo.perez@x.dummyjson.com'}]</t>
  </si>
  <si>
    <t>Glass</t>
  </si>
  <si>
    <t>The Glass is a versatile and elegant drinking vessel suitable for a variety of beverages. Its clear design allows you to enjoy the colors and textures of your drinks.</t>
  </si>
  <si>
    <t>['drinkware', 'glasses']</t>
  </si>
  <si>
    <t>[{'rating': 5, 'comment': 'Very happy with my purchase!', 'date': '2025-04-30T09:41:02.053Z', 'reviewerName': 'Jackson Evans', 'reviewerEmail': 'jackson.evans@x.dummyjson.com'}, {'rating': 3, 'comment': 'Waste of money!', 'date': '2025-04-30T09:41:02.053Z', 'reviewerName': 'Nicholas Bailey', 'reviewerEmail': 'nicholas.bailey@x.dummyjson.com'}, {'rating': 5, 'comment': 'Very satisfied!', 'date': '2025-04-30T09:41:02.053Z', 'reviewerName': 'Nathan Reed', 'reviewerEmail': 'nathan.reed@x.dummyjson.com'}]</t>
  </si>
  <si>
    <t>Grater Black</t>
  </si>
  <si>
    <t>The Grater in Black is a handy kitchen tool for grating cheese, vegetables, and more. Its sleek design and sharp blades make food preparation efficient and easy.</t>
  </si>
  <si>
    <t>['kitchen tools', 'graters']</t>
  </si>
  <si>
    <t>[{'rating': 1, 'comment': 'Would not buy again!', 'date': '2025-04-30T09:41:02.053Z', 'reviewerName': 'Ella Adams', 'reviewerEmail': 'ella.adams@x.dummyjson.com'}, {'rating': 1, 'comment': 'Not as described!', 'date': '2025-04-30T09:41:02.053Z', 'reviewerName': 'Eli Ward', 'reviewerEmail': 'eli.ward@x.dummyjson.com'}, {'rating': 5, 'comment': 'Highly impressed!', 'date': '2025-04-30T09:41:02.053Z', 'reviewerName': 'James Garcia', 'reviewerEmail': 'james.garcia@x.dummyjson.com'}]</t>
  </si>
  <si>
    <t>Hand Blender</t>
  </si>
  <si>
    <t>The Hand Blender is a versatile kitchen appliance for blending, pureeing, and mixing. Its compact design and powerful motor make it a convenient tool for various recipes.</t>
  </si>
  <si>
    <t>[{'rating': 5, 'comment': 'Excellent quality!', 'date': '2025-04-30T09:41:02.053Z', 'reviewerName': 'Hazel Evans', 'reviewerEmail': 'hazel.evans@x.dummyjson.com'}, {'rating': 4, 'comment': 'Highly impressed!', 'date': '2025-04-30T09:41:02.053Z', 'reviewerName': 'Hannah Howard', 'reviewerEmail': 'hannah.howard@x.dummyjson.com'}, {'rating': 1, 'comment': 'Would not buy again!', 'date': '2025-04-30T09:41:02.053Z', 'reviewerName': 'Jonathan Pierce', 'reviewerEmail': 'jonathan.pierce@x.dummyjson.com'}]</t>
  </si>
  <si>
    <t>Ice Cube Tray</t>
  </si>
  <si>
    <t>The Ice Cube Tray is a practical accessory for making ice cubes in various shapes. Perfect for keeping your drinks cool and adding a fun element to your beverages.</t>
  </si>
  <si>
    <t>['kitchen tools', 'ice cube trays']</t>
  </si>
  <si>
    <t>[{'rating': 5, 'comment': 'Awesome product!', 'date': '2025-04-30T09:41:02.053Z', 'reviewerName': 'Isaac Lawrence', 'reviewerEmail': 'isaac.lawrence@x.dummyjson.com'}, {'rating': 5, 'comment': 'Would buy again!', 'date': '2025-04-30T09:41:02.053Z', 'reviewerName': 'Leo Rivera', 'reviewerEmail': 'leo.rivera@x.dummyjson.com'}, {'rating': 5, 'comment': 'Very pleased!', 'date': '2025-04-30T09:41:02.053Z', 'reviewerName': 'Henry Turner', 'reviewerEmail': 'henry.turner@x.dummyjson.com'}]</t>
  </si>
  <si>
    <t>Kitchen Sieve</t>
  </si>
  <si>
    <t>The Kitchen Sieve is a versatile tool for sifting and straining dry and wet ingredients. Its fine mesh design ensures smooth results in your cooking and baking.</t>
  </si>
  <si>
    <t>[{'rating': 5, 'comment': 'Highly recommended!', 'date': '2025-04-30T09:41:02.053Z', 'reviewerName': 'Stella Morris', 'reviewerEmail': 'stella.morris@x.dummyjson.com'}, {'rating': 5, 'comment': 'Very happy with my purchase!', 'date': '2025-04-30T09:41:02.053Z', 'reviewerName': 'Henry Adams', 'reviewerEmail': 'henry.adams@x.dummyjson.com'}, {'rating': 4, 'comment': 'Awesome product!', 'date': '2025-04-30T09:41:02.053Z', 'reviewerName': 'Lillian Simmons', 'reviewerEmail': 'lillian.simmons@x.dummyjson.com'}]</t>
  </si>
  <si>
    <t>Knife</t>
  </si>
  <si>
    <t>The Knife is an essential kitchen tool for chopping, slicing, and dicing. Its sharp blade and ergonomic handle make it a reliable choice for food preparation.</t>
  </si>
  <si>
    <t>['kitchen tools', 'cutlery']</t>
  </si>
  <si>
    <t>[{'rating': 2, 'comment': 'Very disappointed!', 'date': '2025-04-30T09:41:02.053Z', 'reviewerName': 'Aaliyah Martinez', 'reviewerEmail': 'aaliyah.martinez@x.dummyjson.com'}, {'rating': 5, 'comment': 'Fast shipping!', 'date': '2025-04-30T09:41:02.053Z', 'reviewerName': 'Addison Wright', 'reviewerEmail': 'addison.wright@x.dummyjson.com'}, {'rating': 5, 'comment': 'Very pleased!', 'date': '2025-04-30T09:41:02.053Z', 'reviewerName': 'Mateo Nguyen', 'reviewerEmail': 'mateo.nguyen@x.dummyjson.com'}]</t>
  </si>
  <si>
    <t>Lunch Box</t>
  </si>
  <si>
    <t>The Lunch Box is a convenient and portable container for packing and carrying your meals. With compartments for different foods, it's perfect for on-the-go dining.</t>
  </si>
  <si>
    <t>['kitchen tools', 'storage']</t>
  </si>
  <si>
    <t>[{'rating': 5, 'comment': 'Very pleased!', 'date': '2025-04-30T09:41:02.053Z', 'reviewerName': 'Jace Smith', 'reviewerEmail': 'jace.smith@x.dummyjson.com'}, {'rating': 5, 'comment': 'Very happy with my purchase!', 'date': '2025-04-30T09:41:02.053Z', 'reviewerName': 'Zoe Bennett', 'reviewerEmail': 'zoe.bennett@x.dummyjson.com'}, {'rating': 2, 'comment': 'Poor quality!', 'date': '2025-04-30T09:41:02.053Z', 'reviewerName': 'Michael Johnson', 'reviewerEmail': 'michael.johnson@x.dummyjson.com'}]</t>
  </si>
  <si>
    <t>Microwave Oven</t>
  </si>
  <si>
    <t>The Microwave Oven is a versatile kitchen appliance for quick and efficient cooking, reheating, and defrosting. Its compact size makes it suitable for various kitchen setups.</t>
  </si>
  <si>
    <t>['kitchen appliances', 'microwaves']</t>
  </si>
  <si>
    <t>[{'rating': 3, 'comment': 'Very dissatisfied!', 'date': '2025-04-30T09:41:02.053Z', 'reviewerName': 'Nora Russell', 'reviewerEmail': 'nora.russell@x.dummyjson.com'}, {'rating': 4, 'comment': 'Fast shipping!', 'date': '2025-04-30T09:41:02.053Z', 'reviewerName': 'Alice Smith', 'reviewerEmail': 'alice.smith@x.dummyjson.com'}, {'rating': 2, 'comment': 'Very disappointed!', 'date': '2025-04-30T09:41:02.053Z', 'reviewerName': 'Ethan Fletcher', 'reviewerEmail': 'ethan.fletcher@x.dummyjson.com'}]</t>
  </si>
  <si>
    <t>Mug Tree Stand</t>
  </si>
  <si>
    <t>The Mug Tree Stand is a stylish and space-saving solution for organizing your mugs. Keep your favorite mugs easily accessible and neatly displayed in your kitchen.</t>
  </si>
  <si>
    <t>['kitchen tools', 'organization']</t>
  </si>
  <si>
    <t>[{'rating': 1, 'comment': 'Very unhappy with my purchase!', 'date': '2025-04-30T09:41:02.053Z', 'reviewerName': 'Bella Grant', 'reviewerEmail': 'bella.grant@x.dummyjson.com'}, {'rating': 5, 'comment': 'Highly recommended!', 'date': '2025-04-30T09:41:02.053Z', 'reviewerName': 'Paisley Bell', 'reviewerEmail': 'paisley.bell@x.dummyjson.com'}, {'rating': 4, 'comment': 'Fast shipping!', 'date': '2025-04-30T09:41:02.053Z', 'reviewerName': 'David Martinez', 'reviewerEmail': 'david.martinez@x.dummyjson.com'}]</t>
  </si>
  <si>
    <t>Pan</t>
  </si>
  <si>
    <t>The Pan is a versatile and essential cookware item for frying, sautéing, and cooking various dishes. Its non-stick coating ensures easy food release and cleanup.</t>
  </si>
  <si>
    <t>['cookware', 'pans']</t>
  </si>
  <si>
    <t>[{'rating': 5, 'comment': 'Highly impressed!', 'date': '2025-04-30T09:41:02.053Z', 'reviewerName': 'Michael Johnson', 'reviewerEmail': 'michael.johnson@x.dummyjson.com'}, {'rating': 4, 'comment': 'Highly recommended!', 'date': '2025-04-30T09:41:02.053Z', 'reviewerName': 'Adrian Flores', 'reviewerEmail': 'adrian.flores@x.dummyjson.com'}, {'rating': 1, 'comment': 'Not as described!', 'date': '2025-04-30T09:41:02.053Z', 'reviewerName': 'Nicholas Bailey', 'reviewerEmail': 'nicholas.bailey@x.dummyjson.com'}]</t>
  </si>
  <si>
    <t>Plate</t>
  </si>
  <si>
    <t>The Plate is a classic and essential dishware item for serving meals. Its durable and stylish design makes it suitable for everyday use or special occasions.</t>
  </si>
  <si>
    <t>['dinnerware', 'plates']</t>
  </si>
  <si>
    <t>[{'rating': 3, 'comment': 'Disappointing product!', 'date': '2025-04-30T09:41:02.053Z', 'reviewerName': 'Mia Miller', 'reviewerEmail': 'mia.miller@x.dummyjson.com'}, {'rating': 4, 'comment': 'Great product!', 'date': '2025-04-30T09:41:02.053Z', 'reviewerName': 'Henry Adams', 'reviewerEmail': 'henry.adams@x.dummyjson.com'}, {'rating': 4, 'comment': 'Excellent quality!', 'date': '2025-04-30T09:41:02.053Z', 'reviewerName': 'Nora Russell', 'reviewerEmail': 'nora.russell@x.dummyjson.com'}]</t>
  </si>
  <si>
    <t>Red Tongs</t>
  </si>
  <si>
    <t>The Red Tongs are versatile kitchen tongs suitable for various cooking and serving tasks. Their vibrant color adds a pop of excitement to your kitchen utensils.</t>
  </si>
  <si>
    <t>['kitchen tools', 'tongs']</t>
  </si>
  <si>
    <t>[{'rating': 4, 'comment': 'Very satisfied!', 'date': '2025-04-30T09:41:02.053Z', 'reviewerName': 'Xavier Wright', 'reviewerEmail': 'xavier.wright@x.dummyjson.com'}, {'rating': 5, 'comment': 'Highly recommended!', 'date': '2025-04-30T09:41:02.053Z', 'reviewerName': 'Stella Hughes', 'reviewerEmail': 'stella.hughes@x.dummyjson.com'}, {'rating': 4, 'comment': 'Excellent quality!', 'date': '2025-04-30T09:41:02.053Z', 'reviewerName': 'Jaxon Barnes', 'reviewerEmail': 'jaxon.barnes@x.dummyjson.com'}]</t>
  </si>
  <si>
    <t>Silver Pot With Glass Cap</t>
  </si>
  <si>
    <t>The Silver Pot with Glass Cap is a stylish and functional cookware item for boiling, simmering, and preparing delicious meals. Its glass cap allows you to monitor cooking progress.</t>
  </si>
  <si>
    <t>['cookware', 'pots']</t>
  </si>
  <si>
    <t>[{'rating': 4, 'comment': 'Great product!', 'date': '2025-04-30T09:41:02.053Z', 'reviewerName': 'Julian Newton', 'reviewerEmail': 'julian.newton@x.dummyjson.com'}, {'rating': 4, 'comment': 'Excellent quality!', 'date': '2025-04-30T09:41:02.053Z', 'reviewerName': 'Noah Lewis', 'reviewerEmail': 'noah.lewis@x.dummyjson.com'}, {'rating': 1, 'comment': 'Disappointing product!', 'date': '2025-04-30T09:41:02.053Z', 'reviewerName': 'Brayden Hill', 'reviewerEmail': 'brayden.hill@x.dummyjson.com'}]</t>
  </si>
  <si>
    <t>Slotted Turner</t>
  </si>
  <si>
    <t>The Slotted Turner is a kitchen utensil designed for flipping and turning food items. Its slotted design allows excess liquid to drain, making it ideal for frying and sautéing.</t>
  </si>
  <si>
    <t>['kitchen tools', 'turners']</t>
  </si>
  <si>
    <t>[{'rating': 1, 'comment': 'Would not recommend!', 'date': '2025-04-30T09:41:02.053Z', 'reviewerName': 'Ava Taylor', 'reviewerEmail': 'ava.taylor@x.dummyjson.com'}, {'rating': 2, 'comment': 'Would not recommend!', 'date': '2025-04-30T09:41:02.053Z', 'reviewerName': 'Liam Smith', 'reviewerEmail': 'liam.smith@x.dummyjson.com'}, {'rating': 5, 'comment': 'Very satisfied!', 'date': '2025-04-30T09:41:02.053Z', 'reviewerName': 'Gabriel Mitchell', 'reviewerEmail': 'gabriel.mitchell@x.dummyjson.com'}]</t>
  </si>
  <si>
    <t>Spice Rack</t>
  </si>
  <si>
    <t>The Spice Rack is a convenient organizer for your spices and seasonings. Keep your kitchen essentials within reach and neatly arranged with this stylish spice rack.</t>
  </si>
  <si>
    <t>[{'rating': 5, 'comment': 'Very satisfied!', 'date': '2025-04-30T09:41:02.053Z', 'reviewerName': 'Elena Baker', 'reviewerEmail': 'elena.baker@x.dummyjson.com'}, {'rating': 4, 'comment': 'Excellent quality!', 'date': '2025-04-30T09:41:02.053Z', 'reviewerName': 'Owen Fisher', 'reviewerEmail': 'owen.fisher@x.dummyjson.com'}, {'rating': 2, 'comment': 'Waste of money!', 'date': '2025-04-30T09:41:02.053Z', 'reviewerName': 'Sadie Morales', 'reviewerEmail': 'sadie.morales@x.dummyjson.com'}]</t>
  </si>
  <si>
    <t>Spoon</t>
  </si>
  <si>
    <t>The Spoon is a versatile kitchen utensil for stirring, serving, and tasting. Its ergonomic design and durable construction make it an essential tool for every kitchen.</t>
  </si>
  <si>
    <t>[{'rating': 3, 'comment': 'Waste of money!', 'date': '2025-04-30T09:41:02.053Z', 'reviewerName': 'Jackson Evans', 'reviewerEmail': 'jackson.evans@x.dummyjson.com'}, {'rating': 1, 'comment': 'Disappointing product!', 'date': '2025-04-30T09:41:02.053Z', 'reviewerName': 'Elena Baker', 'reviewerEmail': 'elena.baker@x.dummyjson.com'}, {'rating': 4, 'comment': 'Awesome product!', 'date': '2025-04-30T09:41:02.053Z', 'reviewerName': 'Bella Gonzalez', 'reviewerEmail': 'bella.gonzalez@x.dummyjson.com'}]</t>
  </si>
  <si>
    <t>Tray</t>
  </si>
  <si>
    <t>The Tray is a functional and decorative item for serving snacks, appetizers, or drinks. Its stylish design makes it a versatile accessory for entertaining guests.</t>
  </si>
  <si>
    <t>['serveware', 'trays']</t>
  </si>
  <si>
    <t>[{'rating': 5, 'comment': 'Fast shipping!', 'date': '2025-04-30T09:41:02.053Z', 'reviewerName': 'Samantha Howard', 'reviewerEmail': 'samantha.howard@x.dummyjson.com'}, {'rating': 3, 'comment': 'Very disappointed!', 'date': '2025-04-30T09:41:02.053Z', 'reviewerName': 'Benjamin Wilson', 'reviewerEmail': 'benjamin.wilson@x.dummyjson.com'}, {'rating': 4, 'comment': 'Excellent quality!', 'date': '2025-04-30T09:41:02.053Z', 'reviewerName': 'Caleb Nelson', 'reviewerEmail': 'caleb.nelson@x.dummyjson.com'}]</t>
  </si>
  <si>
    <t>Wooden Rolling Pin</t>
  </si>
  <si>
    <t>The Wooden Rolling Pin is a classic kitchen tool for rolling out dough for baking. Its smooth surface and sturdy handles make it easy to achieve uniform thickness.</t>
  </si>
  <si>
    <t>['kitchen tools', 'baking']</t>
  </si>
  <si>
    <t>[{'rating': 2, 'comment': 'Would not recommend!', 'date': '2025-04-30T09:41:02.053Z', 'reviewerName': 'Aurora Lawson', 'reviewerEmail': 'aurora.lawson@x.dummyjson.com'}, {'rating': 3, 'comment': 'Very disappointed!', 'date': '2025-04-30T09:41:02.053Z', 'reviewerName': 'Ava Taylor', 'reviewerEmail': 'ava.taylor@x.dummyjson.com'}, {'rating': 5, 'comment': 'Great product!', 'date': '2025-04-30T09:41:02.053Z', 'reviewerName': 'Mila Hernandez', 'reviewerEmail': 'mila.hernandez@x.dummyjson.com'}]</t>
  </si>
  <si>
    <t>Yellow Peeler</t>
  </si>
  <si>
    <t>The Yellow Peeler is a handy tool for peeling fruits and vegetables with ease. Its bright yellow color adds a cheerful touch to your kitchen gadgets.</t>
  </si>
  <si>
    <t>['kitchen tools', 'peelers']</t>
  </si>
  <si>
    <t>[{'rating': 1, 'comment': 'Very unhappy with my purchase!', 'date': '2025-04-30T09:41:02.053Z', 'reviewerName': 'Claire Foster', 'reviewerEmail': 'claire.foster@x.dummyjson.com'}, {'rating': 5, 'comment': 'Very happy with my purchase!', 'date': '2025-04-30T09:41:02.053Z', 'reviewerName': 'Aaliyah Hanson', 'reviewerEmail': 'aaliyah.hanson@x.dummyjson.com'}, {'rating': 4, 'comment': 'Great product!', 'date': '2025-04-30T09:41:02.053Z', 'reviewerName': 'Olivia Wilson', 'reviewerEmail': 'olivia.wilson@x.dummyjson.com'}]</t>
  </si>
  <si>
    <t>Apple MacBook Pro 14 Inch Space Grey</t>
  </si>
  <si>
    <t>The MacBook Pro 14 Inch in Space Grey is a powerful and sleek laptop, featuring Apple's M1 Pro chip for exceptional performance and a stunning Retina display.</t>
  </si>
  <si>
    <t>laptops</t>
  </si>
  <si>
    <t>['laptops', 'apple']</t>
  </si>
  <si>
    <t>[{'rating': 5, 'comment': 'Very happy with my purchase!', 'date': '2025-04-30T09:41:02.053Z', 'reviewerName': 'Hazel Evans', 'reviewerEmail': 'hazel.evans@x.dummyjson.com'}, {'rating': 5, 'comment': 'Very happy with my purchase!', 'date': '2025-04-30T09:41:02.053Z', 'reviewerName': 'Christopher West', 'reviewerEmail': 'christopher.west@x.dummyjson.com'}, {'rating': 4, 'comment': 'Very satisfied!', 'date': '2025-04-30T09:41:02.053Z', 'reviewerName': 'Aubrey Garcia', 'reviewerEmail': 'aubrey.garcia@x.dummyjson.com'}]</t>
  </si>
  <si>
    <t>Asus Zenbook Pro Dual Screen Laptop</t>
  </si>
  <si>
    <t>The Asus Zenbook Pro Dual Screen Laptop is a high-performance device with dual screens, providing productivity and versatility for creative professionals.</t>
  </si>
  <si>
    <t>['laptops']</t>
  </si>
  <si>
    <t>Asus</t>
  </si>
  <si>
    <t>[{'rating': 4, 'comment': 'Very happy with my purchase!', 'date': '2025-04-30T09:41:02.053Z', 'reviewerName': 'Michael Johnson', 'reviewerEmail': 'michael.johnson@x.dummyjson.com'}, {'rating': 5, 'comment': 'Highly recommended!', 'date': '2025-04-30T09:41:02.053Z', 'reviewerName': 'Zoe Bennett', 'reviewerEmail': 'zoe.bennett@x.dummyjson.com'}, {'rating': 4, 'comment': 'Very satisfied!', 'date': '2025-04-30T09:41:02.053Z', 'reviewerName': 'Mila Hernandez', 'reviewerEmail': 'mila.hernandez@x.dummyjson.com'}]</t>
  </si>
  <si>
    <t>Huawei Matebook X Pro</t>
  </si>
  <si>
    <t>The Huawei Matebook X Pro is a slim and stylish laptop with a high-resolution touchscreen display, offering a premium experience for users on the go.</t>
  </si>
  <si>
    <t>Huawei</t>
  </si>
  <si>
    <t>[{'rating': 4, 'comment': 'Very satisfied!', 'date': '2025-04-30T09:41:02.053Z', 'reviewerName': 'Evan Wright', 'reviewerEmail': 'evan.wright@x.dummyjson.com'}, {'rating': 4, 'comment': 'Very happy with my purchase!', 'date': '2025-04-30T09:41:02.053Z', 'reviewerName': 'Hunter Gordon', 'reviewerEmail': 'hunter.gordon@x.dummyjson.com'}, {'rating': 1, 'comment': 'Not worth the price!', 'date': '2025-04-30T09:41:02.053Z', 'reviewerName': 'William Gonzalez', 'reviewerEmail': 'william.gonzalez@x.dummyjson.com'}]</t>
  </si>
  <si>
    <t>Lenovo Yoga 920</t>
  </si>
  <si>
    <t>The Lenovo Yoga 920 is a 2-in-1 convertible laptop with a flexible hinge, allowing you to use it as a laptop or tablet, offering versatility and portability.</t>
  </si>
  <si>
    <t>Lenovo</t>
  </si>
  <si>
    <t>[{'rating': 4, 'comment': 'Would buy again!', 'date': '2025-04-30T09:41:02.053Z', 'reviewerName': 'Bella Gonzalez', 'reviewerEmail': 'bella.gonzalez@x.dummyjson.com'}, {'rating': 5, 'comment': 'Great value for money!', 'date': '2025-04-30T09:41:02.053Z', 'reviewerName': 'Nathan Reed', 'reviewerEmail': 'nathan.reed@x.dummyjson.com'}, {'rating': 4, 'comment': 'Great value for money!', 'date': '2025-04-30T09:41:02.053Z', 'reviewerName': 'Hazel Gardner', 'reviewerEmail': 'hazel.gardner@x.dummyjson.com'}]</t>
  </si>
  <si>
    <t>New DELL XPS 13 9300 Laptop</t>
  </si>
  <si>
    <t>The New DELL XPS 13 9300 Laptop is a compact and powerful device, featuring a virtually borderless InfinityEdge display and high-end performance for various tasks.</t>
  </si>
  <si>
    <t>Dell</t>
  </si>
  <si>
    <t>[{'rating': 3, 'comment': 'Poor quality!', 'date': '2025-04-30T09:41:02.053Z', 'reviewerName': 'Charlotte Lopez', 'reviewerEmail': 'charlotte.lopez@x.dummyjson.com'}, {'rating': 4, 'comment': 'Very satisfied!', 'date': '2025-04-30T09:41:02.053Z', 'reviewerName': 'Alice Smith', 'reviewerEmail': 'alice.smith@x.dummyjson.com'}, {'rating': 2, 'comment': 'Disappointing product!', 'date': '2025-04-30T09:41:02.053Z', 'reviewerName': 'Ava Taylor', 'reviewerEmail': 'ava.taylor@x.dummyjson.com'}]</t>
  </si>
  <si>
    <t>Blue &amp; Black Check Shirt</t>
  </si>
  <si>
    <t>The Blue &amp; Black Check Shirt is a stylish and comfortable men's shirt featuring a classic check pattern. Made from high-quality fabric, it's suitable for both casual and semi-formal occasions.</t>
  </si>
  <si>
    <t>mens-shirts</t>
  </si>
  <si>
    <t>['clothing', "men's shirts"]</t>
  </si>
  <si>
    <t>Fashion Trends</t>
  </si>
  <si>
    <t>[{'rating': 1, 'comment': 'Waste of money!', 'date': '2025-04-30T09:41:02.053Z', 'reviewerName': 'Logan Lee', 'reviewerEmail': 'logan.lee@x.dummyjson.com'}, {'rating': 5, 'comment': 'Very satisfied!', 'date': '2025-04-30T09:41:02.053Z', 'reviewerName': 'Zachary Lee', 'reviewerEmail': 'zachary.lee@x.dummyjson.com'}, {'rating': 4, 'comment': 'Fast shipping!', 'date': '2025-04-30T09:41:02.053Z', 'reviewerName': 'Aurora Rodriguez', 'reviewerEmail': 'aurora.rodriguez@x.dummyjson.com'}]</t>
  </si>
  <si>
    <t>Gigabyte Aorus Men Tshirt</t>
  </si>
  <si>
    <t>The Gigabyte Aorus Men Tshirt is a cool and casual shirt for gaming enthusiasts. With the Aorus logo and sleek design, it's perfect for expressing your gaming style.</t>
  </si>
  <si>
    <t>['clothing', "men's t-shirts"]</t>
  </si>
  <si>
    <t>Gigabyte</t>
  </si>
  <si>
    <t>[{'rating': 5, 'comment': 'Excellent quality!', 'date': '2025-04-30T09:41:02.053Z', 'reviewerName': 'Amelia Perez', 'reviewerEmail': 'amelia.perez@x.dummyjson.com'}, {'rating': 5, 'comment': 'Awesome product!', 'date': '2025-04-30T09:41:02.053Z', 'reviewerName': 'Tyler Davis', 'reviewerEmail': 'tyler.davis@x.dummyjson.com'}, {'rating': 1, 'comment': 'Disappointing product!', 'date': '2025-04-30T09:41:02.053Z', 'reviewerName': 'Harper King', 'reviewerEmail': 'harper.king@x.dummyjson.com'}]</t>
  </si>
  <si>
    <t>Man Plaid Shirt</t>
  </si>
  <si>
    <t>The Man Plaid Shirt is a timeless and versatile men's shirt with a classic plaid pattern. Its comfortable fit and casual style make it a wardrobe essential for various occasions.</t>
  </si>
  <si>
    <t>Classic Wear</t>
  </si>
  <si>
    <t>[{'rating': 3, 'comment': 'Disappointing product!', 'date': '2025-04-30T09:41:02.053Z', 'reviewerName': 'Aubrey Wagner', 'reviewerEmail': 'aubrey.wagner@x.dummyjson.com'}, {'rating': 4, 'comment': 'Awesome product!', 'date': '2025-04-30T09:41:02.053Z', 'reviewerName': 'Evan Reed', 'reviewerEmail': 'evan.reed@x.dummyjson.com'}, {'rating': 2, 'comment': 'Very disappointed!', 'date': '2025-04-30T09:41:02.053Z', 'reviewerName': 'Evelyn Gonzalez', 'reviewerEmail': 'evelyn.gonzalez@x.dummyjson.com'}]</t>
  </si>
  <si>
    <t>Man Short Sleeve Shirt</t>
  </si>
  <si>
    <t>The Man Short Sleeve Shirt is a breezy and stylish option for warm days. With a comfortable fit and short sleeves, it's perfect for a laid-back yet polished look.</t>
  </si>
  <si>
    <t>Casual Comfort</t>
  </si>
  <si>
    <t>[{'rating': 5, 'comment': 'Highly recommended!', 'date': '2025-04-30T09:41:02.053Z', 'reviewerName': 'Charlotte Lopez', 'reviewerEmail': 'charlotte.lopez@x.dummyjson.com'}, {'rating': 2, 'comment': 'Poor quality!', 'date': '2025-04-30T09:41:02.053Z', 'reviewerName': 'Ellie Stewart', 'reviewerEmail': 'ellie.stewart@x.dummyjson.com'}, {'rating': 1, 'comment': 'Would not recommend!', 'date': '2025-04-30T09:41:02.053Z', 'reviewerName': 'Sadie Morales', 'reviewerEmail': 'sadie.morales@x.dummyjson.com'}]</t>
  </si>
  <si>
    <t>Men Check Shirt</t>
  </si>
  <si>
    <t>The Men Check Shirt is a classic and versatile shirt featuring a stylish check pattern. Suitable for various occasions, it adds a smart and polished touch to your wardrobe.</t>
  </si>
  <si>
    <t>Urban Chic</t>
  </si>
  <si>
    <t>[{'rating': 3, 'comment': 'Would not recommend!', 'date': '2025-04-30T09:41:02.053Z', 'reviewerName': 'Mateo Nguyen', 'reviewerEmail': 'mateo.nguyen@x.dummyjson.com'}, {'rating': 5, 'comment': 'Fast shipping!', 'date': '2025-04-30T09:41:02.053Z', 'reviewerName': 'Lucas Allen', 'reviewerEmail': 'lucas.allen@x.dummyjson.com'}, {'rating': 2, 'comment': 'Very unhappy with my purchase!', 'date': '2025-04-30T09:41:02.053Z', 'reviewerName': 'Henry Adams', 'reviewerEmail': 'henry.adams@x.dummyjson.com'}]</t>
  </si>
  <si>
    <t>Nike Air Jordan 1 Red And Black</t>
  </si>
  <si>
    <t>The Nike Air Jordan 1 in Red and Black is an iconic basketball sneaker known for its stylish design and high-performance features, making it a favorite among sneaker enthusiasts and athletes.</t>
  </si>
  <si>
    <t>mens-shoes</t>
  </si>
  <si>
    <t>['footwear', 'athletic shoes']</t>
  </si>
  <si>
    <t>Nike</t>
  </si>
  <si>
    <t>[{'rating': 5, 'comment': 'Highly impressed!', 'date': '2025-04-30T09:41:02.053Z', 'reviewerName': 'Elena Long', 'reviewerEmail': 'elena.long@x.dummyjson.com'}, {'rating': 4, 'comment': 'Very happy with my purchase!', 'date': '2025-04-30T09:41:02.053Z', 'reviewerName': 'Addison Wright', 'reviewerEmail': 'addison.wright@x.dummyjson.com'}, {'rating': 1, 'comment': 'Waste of money!', 'date': '2025-04-30T09:41:02.053Z', 'reviewerName': 'Mason Wright', 'reviewerEmail': 'mason.wright@x.dummyjson.com'}]</t>
  </si>
  <si>
    <t>Nike Baseball Cleats</t>
  </si>
  <si>
    <t>Nike Baseball Cleats are designed for maximum traction and performance on the baseball field. They provide stability and support for players during games and practices.</t>
  </si>
  <si>
    <t>['footwear', 'sports cleats']</t>
  </si>
  <si>
    <t>[{'rating': 5, 'comment': 'Would buy again!', 'date': '2025-04-30T09:41:02.053Z', 'reviewerName': 'Aaron Cook', 'reviewerEmail': 'aaron.cook@x.dummyjson.com'}, {'rating': 2, 'comment': 'Very disappointed!', 'date': '2025-04-30T09:41:02.053Z', 'reviewerName': 'Noah Lewis', 'reviewerEmail': 'noah.lewis@x.dummyjson.com'}, {'rating': 3, 'comment': 'Would not recommend!', 'date': '2025-04-30T09:41:02.053Z', 'reviewerName': 'Michael Johnson', 'reviewerEmail': 'michael.johnson@x.dummyjson.com'}]</t>
  </si>
  <si>
    <t>Puma Future Rider Trainers</t>
  </si>
  <si>
    <t>The Puma Future Rider Trainers offer a blend of retro style and modern comfort. Perfect for casual wear, these trainers provide a fashionable and comfortable option for everyday use.</t>
  </si>
  <si>
    <t>['footwear', 'casual shoes']</t>
  </si>
  <si>
    <t>Puma</t>
  </si>
  <si>
    <t>[{'rating': 5, 'comment': 'Highly impressed!', 'date': '2025-04-30T09:41:02.053Z', 'reviewerName': 'Jackson Morales', 'reviewerEmail': 'jackson.morales@x.dummyjson.com'}, {'rating': 1, 'comment': 'Very disappointed!', 'date': '2025-04-30T09:41:02.053Z', 'reviewerName': 'Sophia Jones', 'reviewerEmail': 'sophia.jones@x.dummyjson.com'}, {'rating': 5, 'comment': 'Very pleased!', 'date': '2025-04-30T09:41:02.053Z', 'reviewerName': 'Logan Torres', 'reviewerEmail': 'logan.torres@x.dummyjson.com'}]</t>
  </si>
  <si>
    <t>Sports Sneakers Off White &amp; Red</t>
  </si>
  <si>
    <t>The Sports Sneakers in Off White and Red combine style and functionality, making them a fashionable choice for sports enthusiasts. The red and off-white color combination adds a bold and energetic touch.</t>
  </si>
  <si>
    <t>Off White</t>
  </si>
  <si>
    <t>[{'rating': 4, 'comment': 'Would buy again!', 'date': '2025-04-30T09:41:02.053Z', 'reviewerName': 'Sadie Morales', 'reviewerEmail': 'sadie.morales@x.dummyjson.com'}, {'rating': 5, 'comment': 'Fast shipping!', 'date': '2025-04-30T09:41:02.053Z', 'reviewerName': 'Julian Newton', 'reviewerEmail': 'julian.newton@x.dummyjson.com'}, {'rating': 5, 'comment': 'Awesome product!', 'date': '2025-04-30T09:41:02.053Z', 'reviewerName': 'Logan Lee', 'reviewerEmail': 'logan.lee@x.dummyjson.com'}]</t>
  </si>
  <si>
    <t>Sports Sneakers Off White Red</t>
  </si>
  <si>
    <t>Another variant of the Sports Sneakers in Off White Red, featuring a unique design. These sneakers offer style and comfort for casual occasions.</t>
  </si>
  <si>
    <t>[{'rating': 4, 'comment': 'Excellent quality!', 'date': '2025-04-30T09:41:02.053Z', 'reviewerName': 'Aurora Lawson', 'reviewerEmail': 'aurora.lawson@x.dummyjson.com'}, {'rating': 5, 'comment': 'Great value for money!', 'date': '2025-04-30T09:41:02.053Z', 'reviewerName': 'Gabriel Mitchell', 'reviewerEmail': 'gabriel.mitchell@x.dummyjson.com'}, {'rating': 1, 'comment': 'Not worth the price!', 'date': '2025-04-30T09:41:02.053Z', 'reviewerName': 'Eli Bennett', 'reviewerEmail': 'eli.bennett@x.dummyjson.com'}]</t>
  </si>
  <si>
    <t>Brown Leather Belt Watch</t>
  </si>
  <si>
    <t>The Brown Leather Belt Watch is a stylish timepiece with a classic design. Featuring a genuine leather strap and a sleek dial, it adds a touch of sophistication to your look.</t>
  </si>
  <si>
    <t>mens-watches</t>
  </si>
  <si>
    <t>['watches', 'leather watches']</t>
  </si>
  <si>
    <t>Fashion Timepieces</t>
  </si>
  <si>
    <t>[{'rating': 1, 'comment': 'Very unhappy with my purchase!', 'date': '2025-04-30T09:41:02.053Z', 'reviewerName': 'James Garcia', 'reviewerEmail': 'james.garcia@x.dummyjson.com'}, {'rating': 4, 'comment': 'Fast shipping!', 'date': '2025-04-30T09:41:02.053Z', 'reviewerName': 'Avery Barnes', 'reviewerEmail': 'avery.barnes@x.dummyjson.com'}, {'rating': 4, 'comment': 'Would buy again!', 'date': '2025-04-30T09:41:02.053Z', 'reviewerName': 'David Martinez', 'reviewerEmail': 'david.martinez@x.dummyjson.com'}]</t>
  </si>
  <si>
    <t>Longines Master Collection</t>
  </si>
  <si>
    <t>The Longines Master Collection is an elegant and refined watch known for its precision and craftsmanship. With a timeless design, it's a symbol of luxury and sophistication.</t>
  </si>
  <si>
    <t>['watches', 'luxury watches']</t>
  </si>
  <si>
    <t>Longines</t>
  </si>
  <si>
    <t>[{'rating': 4, 'comment': 'Highly impressed!', 'date': '2025-04-30T09:41:02.053Z', 'reviewerName': 'Eli Ward', 'reviewerEmail': 'eli.ward@x.dummyjson.com'}, {'rating': 3, 'comment': 'Very disappointed!', 'date': '2025-04-30T09:41:02.053Z', 'reviewerName': 'Owen Fisher', 'reviewerEmail': 'owen.fisher@x.dummyjson.com'}, {'rating': 5, 'comment': 'Great product!', 'date': '2025-04-30T09:41:02.053Z', 'reviewerName': 'Nathan Reed', 'reviewerEmail': 'nathan.reed@x.dummyjson.com'}]</t>
  </si>
  <si>
    <t>Rolex Cellini Date Black Dial</t>
  </si>
  <si>
    <t>The Rolex Cellini Date with Black Dial is a classic and prestigious watch. With a black dial and date complication, it exudes sophistication and is a symbol of Rolex's heritage.</t>
  </si>
  <si>
    <t>Rolex</t>
  </si>
  <si>
    <t>[{'rating': 3, 'comment': 'Not worth the price!', 'date': '2025-04-30T09:41:02.053Z', 'reviewerName': 'Owen Sullivan', 'reviewerEmail': 'owen.sullivan@x.dummyjson.com'}, {'rating': 4, 'comment': 'Very satisfied!', 'date': '2025-04-30T09:41:02.053Z', 'reviewerName': 'Jonathan Pierce', 'reviewerEmail': 'jonathan.pierce@x.dummyjson.com'}, {'rating': 1, 'comment': 'Would not buy again!', 'date': '2025-04-30T09:41:02.053Z', 'reviewerName': 'Adrian Flores', 'reviewerEmail': 'adrian.flores@x.dummyjson.com'}]</t>
  </si>
  <si>
    <t>Rolex Cellini Moonphase</t>
  </si>
  <si>
    <t>The Rolex Cellini Moonphase is a masterpiece of horology, featuring a moon phase complication and exquisite design. It reflects Rolex's commitment to precision and elegance.</t>
  </si>
  <si>
    <t>[{'rating': 3, 'comment': 'Poor quality!', 'date': '2025-04-30T09:41:02.053Z', 'reviewerName': 'Ella Adams', 'reviewerEmail': 'ella.adams@x.dummyjson.com'}, {'rating': 5, 'comment': 'Very satisfied!', 'date': '2025-04-30T09:41:02.053Z', 'reviewerName': 'Leo Rivera', 'reviewerEmail': 'leo.rivera@x.dummyjson.com'}, {'rating': 4, 'comment': 'Very pleased!', 'date': '2025-04-30T09:41:02.053Z', 'reviewerName': 'Emma Miller', 'reviewerEmail': 'emma.miller@x.dummyjson.com'}]</t>
  </si>
  <si>
    <t>Rolex Datejust</t>
  </si>
  <si>
    <t>The Rolex Datejust is an iconic and versatile timepiece with a date window. Known for its timeless design and reliability, it's a symbol of Rolex's watchmaking excellence.</t>
  </si>
  <si>
    <t>[{'rating': 4, 'comment': 'Fast shipping!', 'date': '2025-04-30T09:41:02.053Z', 'reviewerName': 'Alice Smith', 'reviewerEmail': 'alice.smith@x.dummyjson.com'}, {'rating': 4, 'comment': 'Very pleased!', 'date': '2025-04-30T09:41:02.053Z', 'reviewerName': 'Abigail Rivera', 'reviewerEmail': 'abigail.rivera@x.dummyjson.com'}, {'rating': 3, 'comment': 'Waste of money!', 'date': '2025-04-30T09:41:02.053Z', 'reviewerName': 'Daniel Cook', 'reviewerEmail': 'daniel.cook@x.dummyjson.com'}]</t>
  </si>
  <si>
    <t>Rolex Submariner Watch</t>
  </si>
  <si>
    <t>The Rolex Submariner is a legendary dive watch with a rich history. Known for its durability and water resistance, it's a symbol of adventure and exploration.</t>
  </si>
  <si>
    <t>[{'rating': 4, 'comment': 'Great value for money!', 'date': '2025-04-30T09:41:02.053Z', 'reviewerName': 'Luna Perez', 'reviewerEmail': 'luna.perez@x.dummyjson.com'}, {'rating': 5, 'comment': 'Highly recommended!', 'date': '2025-04-30T09:41:02.053Z', 'reviewerName': 'Hannah Robinson', 'reviewerEmail': 'hannah.robinson@x.dummyjson.com'}, {'rating': 5, 'comment': 'Fast shipping!', 'date': '2025-04-30T09:41:02.053Z', 'reviewerName': 'Aaliyah Hanson', 'reviewerEmail': 'aaliyah.hanson@x.dummyjson.com'}]</t>
  </si>
  <si>
    <t>Amazon Echo Plus</t>
  </si>
  <si>
    <t>The Amazon Echo Plus is a smart speaker with built-in Alexa voice control. It features premium sound quality and serves as a hub for controlling smart home devices.</t>
  </si>
  <si>
    <t>mobile-accessories</t>
  </si>
  <si>
    <t>['electronics', 'smart speakers']</t>
  </si>
  <si>
    <t>Amazon</t>
  </si>
  <si>
    <t>[{'rating': 2, 'comment': 'Would not recommend!', 'date': '2025-04-30T09:41:02.053Z', 'reviewerName': 'Chloe Morales', 'reviewerEmail': 'chloe.morales@x.dummyjson.com'}, {'rating': 3, 'comment': 'Very disappointed!', 'date': '2025-04-30T09:41:02.053Z', 'reviewerName': 'Mateo Perez', 'reviewerEmail': 'mateo.perez@x.dummyjson.com'}, {'rating': 4, 'comment': 'Fast shipping!', 'date': '2025-04-30T09:41:02.053Z', 'reviewerName': 'Evelyn Walker', 'reviewerEmail': 'evelyn.walker@x.dummyjson.com'}]</t>
  </si>
  <si>
    <t>Apple Airpods</t>
  </si>
  <si>
    <t>The Apple Airpods offer a seamless wireless audio experience. With easy pairing, high-quality sound, and Siri integration, they are perfect for on-the-go listening.</t>
  </si>
  <si>
    <t>['electronics', 'wireless earphones']</t>
  </si>
  <si>
    <t>[{'rating': 3, 'comment': 'Would not buy again!', 'date': '2025-04-30T09:41:02.053Z', 'reviewerName': 'Christopher West', 'reviewerEmail': 'christopher.west@x.dummyjson.com'}, {'rating': 5, 'comment': 'Great product!', 'date': '2025-04-30T09:41:02.053Z', 'reviewerName': 'Emma Wilson', 'reviewerEmail': 'emma.wilson@x.dummyjson.com'}, {'rating': 4, 'comment': 'Excellent quality!', 'date': '2025-04-30T09:41:02.053Z', 'reviewerName': 'Xavier Wright', 'reviewerEmail': 'xavier.wright@x.dummyjson.com'}]</t>
  </si>
  <si>
    <r>
      <rPr>
        <rFont val="Arial"/>
        <color theme="1"/>
      </rPr>
      <t>This report provides an overview of the product dataset, which contains 100 items across various categories.</t>
    </r>
    <r>
      <rPr>
        <rFont val="Arial"/>
        <color theme="1"/>
      </rPr>
      <t xml:space="preserve">
</t>
    </r>
    <r>
      <rPr>
        <rFont val="Arial"/>
        <b/>
        <color theme="1"/>
        <sz val="20.0"/>
      </rPr>
      <t>Key Insights</t>
    </r>
    <r>
      <rPr>
        <rFont val="Arial"/>
        <color theme="1"/>
      </rPr>
      <t xml:space="preserve">
</t>
    </r>
    <r>
      <rPr>
        <rFont val="Arial"/>
        <color theme="1"/>
      </rPr>
      <t xml:space="preserve">
• </t>
    </r>
    <r>
      <rPr>
        <rFont val="Arial"/>
        <b/>
        <color theme="1"/>
      </rPr>
      <t>Category Dominance</t>
    </r>
    <r>
      <rPr>
        <rFont val="Arial"/>
        <color theme="1"/>
      </rPr>
      <t xml:space="preserve">: The dataset is primarily composed of </t>
    </r>
    <r>
      <rPr>
        <rFont val="Arial"/>
        <b/>
        <color theme="1"/>
      </rPr>
      <t>Kitchen Accessories</t>
    </r>
    <r>
      <rPr>
        <rFont val="Arial"/>
        <color theme="1"/>
      </rPr>
      <t xml:space="preserve"> (30 products) and </t>
    </r>
    <r>
      <rPr>
        <rFont val="Arial"/>
        <b/>
        <color theme="1"/>
      </rPr>
      <t>Groceries</t>
    </r>
    <r>
      <rPr>
        <rFont val="Arial"/>
        <color theme="1"/>
      </rPr>
      <t xml:space="preserve"> (27 products), which together account for over 50% of the total inventory. Other notable categories include Men's Watches, Beauty, and Fragrances.</t>
    </r>
    <r>
      <rPr>
        <rFont val="Arial"/>
        <color theme="1"/>
      </rPr>
      <t xml:space="preserve">
• </t>
    </r>
    <r>
      <rPr>
        <rFont val="Arial"/>
        <b/>
        <color theme="1"/>
      </rPr>
      <t>Pricing and Quality</t>
    </r>
    <r>
      <rPr>
        <rFont val="Arial"/>
        <color theme="1"/>
      </rPr>
      <t xml:space="preserve">: The average price of products in this dataset is </t>
    </r>
    <r>
      <rPr>
        <rFont val="Arial"/>
        <b/>
        <color theme="1"/>
      </rPr>
      <t>$646.68</t>
    </r>
    <r>
      <rPr>
        <rFont val="Arial"/>
        <color theme="1"/>
      </rPr>
      <t xml:space="preserve">, with an average customer rating of </t>
    </r>
    <r>
      <rPr>
        <rFont val="Arial"/>
        <b/>
        <color theme="1"/>
      </rPr>
      <t>3.85 out of 5</t>
    </r>
    <r>
      <rPr>
        <rFont val="Arial"/>
        <color theme="1"/>
      </rPr>
      <t>. The "Price vs. Rating by Category" chart indicates a wide range of price points, particularly in the electronics and accessories segments.</t>
    </r>
    <r>
      <rPr>
        <rFont val="Arial"/>
        <color theme="1"/>
      </rPr>
      <t xml:space="preserve">
• </t>
    </r>
    <r>
      <rPr>
        <rFont val="Arial"/>
        <b/>
        <color theme="1"/>
      </rPr>
      <t>Customer Sentiment</t>
    </r>
    <r>
      <rPr>
        <rFont val="Arial"/>
        <color theme="1"/>
      </rPr>
      <t xml:space="preserve">: Sentiment analysis of product descriptions and reviews shows a generally favorable outlook. </t>
    </r>
    <r>
      <rPr>
        <rFont val="Arial"/>
        <b/>
        <color theme="1"/>
      </rPr>
      <t>38%</t>
    </r>
    <r>
      <rPr>
        <rFont val="Arial"/>
        <color theme="1"/>
      </rPr>
      <t xml:space="preserve"> of products have a </t>
    </r>
    <r>
      <rPr>
        <rFont val="Arial"/>
        <b/>
        <color theme="1"/>
      </rPr>
      <t>Positive</t>
    </r>
    <r>
      <rPr>
        <rFont val="Arial"/>
        <color theme="1"/>
      </rPr>
      <t xml:space="preserve"> sentiment, while </t>
    </r>
    <r>
      <rPr>
        <rFont val="Arial"/>
        <b/>
        <color theme="1"/>
      </rPr>
      <t>57%</t>
    </r>
    <r>
      <rPr>
        <rFont val="Arial"/>
        <color theme="1"/>
      </rPr>
      <t xml:space="preserve"> are classified as </t>
    </r>
    <r>
      <rPr>
        <rFont val="Arial"/>
        <b/>
        <color theme="1"/>
      </rPr>
      <t>Mixed</t>
    </r>
    <r>
      <rPr>
        <rFont val="Arial"/>
        <color theme="1"/>
      </rPr>
      <t>. Only a small fraction (</t>
    </r>
    <r>
      <rPr>
        <rFont val="Arial"/>
        <b/>
        <color theme="1"/>
      </rPr>
      <t>5%</t>
    </r>
    <r>
      <rPr>
        <rFont val="Arial"/>
        <color theme="1"/>
      </rPr>
      <t xml:space="preserve">) carry a </t>
    </r>
    <r>
      <rPr>
        <rFont val="Arial"/>
        <b/>
        <color theme="1"/>
      </rPr>
      <t>Negative</t>
    </r>
    <r>
      <rPr>
        <rFont val="Arial"/>
        <color theme="1"/>
      </rPr>
      <t xml:space="preserve"> sentiment.</t>
    </r>
    <r>
      <rPr>
        <rFont val="Arial"/>
        <color theme="1"/>
      </rPr>
      <t xml:space="preserve">
</t>
    </r>
    <r>
      <rPr>
        <rFont val="Arial"/>
        <color theme="1"/>
      </rPr>
      <t xml:space="preserve">
</t>
    </r>
    <r>
      <rPr>
        <rFont val="Arial"/>
        <b/>
        <color theme="1"/>
        <sz val="20.0"/>
      </rPr>
      <t>Product Distribution by Category</t>
    </r>
    <r>
      <rPr>
        <rFont val="Arial"/>
        <color theme="1"/>
      </rPr>
      <t xml:space="preserve">
</t>
    </r>
    <r>
      <rPr>
        <rFont val="Arial"/>
        <color theme="1"/>
      </rPr>
      <t>The bar chart illustrates the concentration of products in the Kitchen Accessories and Groceries categories, highlighting the focus areas of the current inventory.</t>
    </r>
    <r>
      <rPr>
        <rFont val="Arial"/>
        <color theme="1"/>
      </rPr>
      <t xml:space="preserve">
</t>
    </r>
    <r>
      <rPr>
        <rFont val="Arial"/>
        <b/>
        <color theme="1"/>
        <sz val="20.0"/>
      </rPr>
      <t>Price vs. Rating by Category</t>
    </r>
    <r>
      <rPr>
        <rFont val="Arial"/>
        <color theme="1"/>
      </rPr>
      <t xml:space="preserve">
</t>
    </r>
    <r>
      <rPr>
        <rFont val="Arial"/>
        <color theme="1"/>
      </rPr>
      <t>This scatter plot explores the relationship between product pricing and customer satisfaction across different categories, showing how ratings vary regardless of the price point.</t>
    </r>
    <r>
      <rPr>
        <rFont val="Arial"/>
        <color theme="1"/>
      </rPr>
      <t xml:space="preserve">
</t>
    </r>
    <r>
      <rPr>
        <rFont val="Arial"/>
        <b/>
        <color theme="1"/>
        <sz val="20.0"/>
      </rPr>
      <t>Sentiment Analysis of Products</t>
    </r>
    <r>
      <rPr>
        <rFont val="Arial"/>
        <color theme="1"/>
      </rPr>
      <t xml:space="preserve">
</t>
    </r>
    <r>
      <rPr>
        <rFont val="Arial"/>
        <color theme="1"/>
      </rPr>
      <t>The pie chart breaks down the overall sentiment associated with the products, reflecting a largely stable and positive reception among the catalog.</t>
    </r>
  </si>
  <si>
    <t>Category</t>
  </si>
  <si>
    <r>
      <rPr>
        <rFont val="Arial"/>
        <color theme="1"/>
      </rPr>
      <t xml:space="preserve">This report provides a comprehensive analysis of the product catalog, covering 100 items across various categories including kitchen accessories, groceries, luxury watches, and electronics.
</t>
    </r>
    <r>
      <rPr>
        <rFont val="Arial"/>
        <b/>
        <color theme="1"/>
        <sz val="20.0"/>
      </rPr>
      <t>Key Takeaways</t>
    </r>
    <r>
      <rPr>
        <rFont val="Arial"/>
        <color theme="1"/>
      </rPr>
      <t xml:space="preserve">
• </t>
    </r>
    <r>
      <rPr>
        <rFont val="Arial"/>
        <b/>
        <color theme="1"/>
      </rPr>
      <t>Category Dominance and Price Variance:</t>
    </r>
    <r>
      <rPr>
        <rFont val="Arial"/>
        <color theme="1"/>
      </rPr>
      <t xml:space="preserve"> The catalog is heavily weighted towards everyday items, but the average price is significantly skewed by a small number of luxury goods.
  • </t>
    </r>
    <r>
      <rPr>
        <rFont val="Arial"/>
        <b/>
        <color theme="1"/>
      </rPr>
      <t>Kitchen Accessories</t>
    </r>
    <r>
      <rPr>
        <rFont val="Arial"/>
        <color theme="1"/>
      </rPr>
      <t xml:space="preserve"> and </t>
    </r>
    <r>
      <rPr>
        <rFont val="Arial"/>
        <b/>
        <color theme="1"/>
      </rPr>
      <t>Groceries</t>
    </r>
    <r>
      <rPr>
        <rFont val="Arial"/>
        <color theme="1"/>
      </rPr>
      <t xml:space="preserve"> are the most frequent categories, representing 30% and 27% of the total inventory, respectively.
  • The average product price is </t>
    </r>
    <r>
      <rPr>
        <rFont val="Arial"/>
        <b/>
        <color theme="1"/>
      </rPr>
      <t>$646.68</t>
    </r>
    <r>
      <rPr>
        <rFont val="Arial"/>
        <color theme="1"/>
      </rPr>
      <t xml:space="preserve">, but the median price is only </t>
    </r>
    <r>
      <rPr>
        <rFont val="Arial"/>
        <b/>
        <color theme="1"/>
      </rPr>
      <t>$14.99</t>
    </r>
    <r>
      <rPr>
        <rFont val="Arial"/>
        <color theme="1"/>
      </rPr>
      <t xml:space="preserve">. This discrepancy is driven by the </t>
    </r>
    <r>
      <rPr>
        <rFont val="Arial"/>
        <b/>
        <color theme="1"/>
      </rPr>
      <t>Mens-Watches</t>
    </r>
    <r>
      <rPr>
        <rFont val="Arial"/>
        <color theme="1"/>
      </rPr>
      <t xml:space="preserve"> category, which has an average price of over </t>
    </r>
    <r>
      <rPr>
        <rFont val="Arial"/>
        <b/>
        <color theme="1"/>
      </rPr>
      <t>$8,000</t>
    </r>
    <r>
      <rPr>
        <rFont val="Arial"/>
        <color theme="1"/>
      </rPr>
      <t xml:space="preserve"> due to several Rolex models.
  • </t>
    </r>
    <r>
      <rPr>
        <rFont val="Arial"/>
        <b/>
        <color theme="1"/>
      </rPr>
      <t>Laptops</t>
    </r>
    <r>
      <rPr>
        <rFont val="Arial"/>
        <color theme="1"/>
      </rPr>
      <t xml:space="preserve"> and </t>
    </r>
    <r>
      <rPr>
        <rFont val="Arial"/>
        <b/>
        <color theme="1"/>
      </rPr>
      <t>Furniture</t>
    </r>
    <r>
      <rPr>
        <rFont val="Arial"/>
        <color theme="1"/>
      </rPr>
      <t xml:space="preserve"> also represent higher-value segments with average prices of </t>
    </r>
    <r>
      <rPr>
        <rFont val="Arial"/>
        <b/>
        <color theme="1"/>
      </rPr>
      <t>$1,559.99</t>
    </r>
    <r>
      <rPr>
        <rFont val="Arial"/>
        <color theme="1"/>
      </rPr>
      <t xml:space="preserve"> and </t>
    </r>
    <r>
      <rPr>
        <rFont val="Arial"/>
        <b/>
        <color theme="1"/>
      </rPr>
      <t>$1,199.99</t>
    </r>
    <r>
      <rPr>
        <rFont val="Arial"/>
        <color theme="1"/>
      </rPr>
      <t xml:space="preserve">.
• </t>
    </r>
    <r>
      <rPr>
        <rFont val="Arial"/>
        <b/>
        <color theme="1"/>
      </rPr>
      <t>Customer Sentiment and Product Quality:</t>
    </r>
    <r>
      <rPr>
        <rFont val="Arial"/>
        <color theme="1"/>
      </rPr>
      <t xml:space="preserve"> Overall sentiment is largely positive or mixed, with very few negative assessments.
  • </t>
    </r>
    <r>
      <rPr>
        <rFont val="Arial"/>
        <b/>
        <color theme="1"/>
      </rPr>
      <t>95%</t>
    </r>
    <r>
      <rPr>
        <rFont val="Arial"/>
        <color theme="1"/>
      </rPr>
      <t xml:space="preserve"> of products have a </t>
    </r>
    <r>
      <rPr>
        <rFont val="Arial"/>
        <b/>
        <color theme="1"/>
      </rPr>
      <t>Positive</t>
    </r>
    <r>
      <rPr>
        <rFont val="Arial"/>
        <color theme="1"/>
      </rPr>
      <t xml:space="preserve"> (38 products) or </t>
    </r>
    <r>
      <rPr>
        <rFont val="Arial"/>
        <b/>
        <color theme="1"/>
      </rPr>
      <t>Mixed</t>
    </r>
    <r>
      <rPr>
        <rFont val="Arial"/>
        <color theme="1"/>
      </rPr>
      <t xml:space="preserve"> (57 products) sentiment analysis.
  • Only </t>
    </r>
    <r>
      <rPr>
        <rFont val="Arial"/>
        <b/>
        <color theme="1"/>
      </rPr>
      <t>5%</t>
    </r>
    <r>
      <rPr>
        <rFont val="Arial"/>
        <color theme="1"/>
      </rPr>
      <t xml:space="preserve"> of the catalog (5 products) received a </t>
    </r>
    <r>
      <rPr>
        <rFont val="Arial"/>
        <b/>
        <color theme="1"/>
      </rPr>
      <t>Negative</t>
    </r>
    <r>
      <rPr>
        <rFont val="Arial"/>
        <color theme="1"/>
      </rPr>
      <t xml:space="preserve"> sentiment rating.
  • The average product rating is </t>
    </r>
    <r>
      <rPr>
        <rFont val="Arial"/>
        <b/>
        <color theme="1"/>
      </rPr>
      <t>3.85 out of 5</t>
    </r>
    <r>
      <rPr>
        <rFont val="Arial"/>
        <color theme="1"/>
      </rPr>
      <t xml:space="preserve">, indicating a generally satisfied customer base across most categories.
• </t>
    </r>
    <r>
      <rPr>
        <rFont val="Arial"/>
        <b/>
        <color theme="1"/>
      </rPr>
      <t>Inventory and Logistics:</t>
    </r>
    <r>
      <rPr>
        <rFont val="Arial"/>
        <color theme="1"/>
      </rPr>
      <t xml:space="preserve"> Stock levels and order requirements vary significantly by product type.
  • The average stock level per product is </t>
    </r>
    <r>
      <rPr>
        <rFont val="Arial"/>
        <b/>
        <color theme="1"/>
      </rPr>
      <t>54 units</t>
    </r>
    <r>
      <rPr>
        <rFont val="Arial"/>
        <color theme="1"/>
      </rPr>
      <t xml:space="preserve">, providing a healthy buffer for most items.
  • Minimum order quantities range from 1 to 50, with an average of approximately </t>
    </r>
    <r>
      <rPr>
        <rFont val="Arial"/>
        <b/>
        <color theme="1"/>
      </rPr>
      <t>17 units</t>
    </r>
    <r>
      <rPr>
        <rFont val="Arial"/>
        <color theme="1"/>
      </rPr>
      <t xml:space="preserve"> per order.
</t>
    </r>
    <r>
      <rPr>
        <rFont val="Arial"/>
        <b/>
        <color theme="1"/>
        <sz val="20.0"/>
      </rPr>
      <t>Product Highlights</t>
    </r>
    <r>
      <rPr>
        <rFont val="Arial"/>
        <color theme="1"/>
      </rPr>
      <t xml:space="preserve">
</t>
    </r>
    <r>
      <rPr>
        <rFont val="Arial"/>
        <b/>
        <color theme="1"/>
        <sz val="16.0"/>
      </rPr>
      <t>Top 5 Most Expensive Products</t>
    </r>
    <r>
      <rPr>
        <rFont val="Arial"/>
        <color theme="1"/>
      </rPr>
      <t xml:space="preserve">
These luxury items represent the highest price points in the table:
1. </t>
    </r>
    <r>
      <rPr>
        <rFont val="Arial"/>
        <b/>
        <color theme="1"/>
      </rPr>
      <t>Rolex Submariner Watch</t>
    </r>
    <r>
      <rPr>
        <rFont val="Arial"/>
        <color theme="1"/>
      </rPr>
      <t xml:space="preserve"> (Mens-Watches): $13,999.99
2. </t>
    </r>
    <r>
      <rPr>
        <rFont val="Arial"/>
        <b/>
        <color theme="1"/>
      </rPr>
      <t>Rolex Cellini Moonphase</t>
    </r>
    <r>
      <rPr>
        <rFont val="Arial"/>
        <color theme="1"/>
      </rPr>
      <t xml:space="preserve"> (Mens-Watches): $12,999.99
3. </t>
    </r>
    <r>
      <rPr>
        <rFont val="Arial"/>
        <b/>
        <color theme="1"/>
      </rPr>
      <t>Rolex Datejust</t>
    </r>
    <r>
      <rPr>
        <rFont val="Arial"/>
        <color theme="1"/>
      </rPr>
      <t xml:space="preserve"> (Mens-Watches): $10,999.99
4. </t>
    </r>
    <r>
      <rPr>
        <rFont val="Arial"/>
        <b/>
        <color theme="1"/>
      </rPr>
      <t>Rolex Cellini Date Black Dial</t>
    </r>
    <r>
      <rPr>
        <rFont val="Arial"/>
        <color theme="1"/>
      </rPr>
      <t xml:space="preserve"> (Mens-Watches): $8,999.99
5. </t>
    </r>
    <r>
      <rPr>
        <rFont val="Arial"/>
        <b/>
        <color theme="1"/>
      </rPr>
      <t>Annibale Colombo Sofa</t>
    </r>
    <r>
      <rPr>
        <rFont val="Arial"/>
        <color theme="1"/>
      </rPr>
      <t xml:space="preserve"> (Furniture): $2,499.99
</t>
    </r>
    <r>
      <rPr>
        <rFont val="Arial"/>
        <b/>
        <color theme="1"/>
        <sz val="16.0"/>
      </rPr>
      <t>Top 5 Highest Rated Products</t>
    </r>
    <r>
      <rPr>
        <rFont val="Arial"/>
        <color theme="1"/>
      </rPr>
      <t xml:space="preserve">
These products have achieved the highest customer satisfaction scores:
1. </t>
    </r>
    <r>
      <rPr>
        <rFont val="Arial"/>
        <b/>
        <color theme="1"/>
      </rPr>
      <t>Amazon Echo Plus</t>
    </r>
    <r>
      <rPr>
        <rFont val="Arial"/>
        <color theme="1"/>
      </rPr>
      <t xml:space="preserve"> (Mobile-Accessories): 4.99
2. </t>
    </r>
    <r>
      <rPr>
        <rFont val="Arial"/>
        <b/>
        <color theme="1"/>
      </rPr>
      <t>Huawei Matebook X Pro</t>
    </r>
    <r>
      <rPr>
        <rFont val="Arial"/>
        <color theme="1"/>
      </rPr>
      <t xml:space="preserve"> (Laptops): 4.98
3. </t>
    </r>
    <r>
      <rPr>
        <rFont val="Arial"/>
        <b/>
        <color theme="1"/>
      </rPr>
      <t>Rolex Cellini Date Black Dial</t>
    </r>
    <r>
      <rPr>
        <rFont val="Arial"/>
        <color theme="1"/>
      </rPr>
      <t xml:space="preserve"> (Mens-Watches): 4.97
4. </t>
    </r>
    <r>
      <rPr>
        <rFont val="Arial"/>
        <b/>
        <color theme="1"/>
      </rPr>
      <t>Water</t>
    </r>
    <r>
      <rPr>
        <rFont val="Arial"/>
        <color theme="1"/>
      </rPr>
      <t xml:space="preserve"> (Groceries): 4.96
5. </t>
    </r>
    <r>
      <rPr>
        <rFont val="Arial"/>
        <b/>
        <color theme="1"/>
      </rPr>
      <t>Mulberry</t>
    </r>
    <r>
      <rPr>
        <rFont val="Arial"/>
        <color theme="1"/>
      </rPr>
      <t xml:space="preserve"> (Groceries): 4.95
</t>
    </r>
    <r>
      <rPr>
        <rFont val="Arial"/>
        <b/>
        <color theme="1"/>
        <sz val="20.0"/>
      </rPr>
      <t>Visual Analysis</t>
    </r>
    <r>
      <rPr>
        <rFont val="Arial"/>
        <color theme="1"/>
      </rPr>
      <t xml:space="preserve">
The following charts provide further detail on the distribution and relationships within the data:
• </t>
    </r>
    <r>
      <rPr>
        <rFont val="Arial"/>
        <b/>
        <color theme="1"/>
      </rPr>
      <t>Number of Products by Category</t>
    </r>
    <r>
      <rPr>
        <rFont val="Arial"/>
        <color theme="1"/>
      </rPr>
      <t xml:space="preserve">: Shows the high volume of kitchen and grocery items compared to other segments.
• </t>
    </r>
    <r>
      <rPr>
        <rFont val="Arial"/>
        <b/>
        <color theme="1"/>
      </rPr>
      <t>Average Product Price by Category</t>
    </r>
    <r>
      <rPr>
        <rFont val="Arial"/>
        <color theme="1"/>
      </rPr>
      <t xml:space="preserve">: Highlights the extreme price differences between luxury watches and everyday consumer goods.
• </t>
    </r>
    <r>
      <rPr>
        <rFont val="Arial"/>
        <b/>
        <color theme="1"/>
      </rPr>
      <t>Sentiment Analysis Distribution</t>
    </r>
    <r>
      <rPr>
        <rFont val="Arial"/>
        <color theme="1"/>
      </rPr>
      <t xml:space="preserve">: Illustrates the breakdown of customer feedback across the catalog.
• </t>
    </r>
    <r>
      <rPr>
        <rFont val="Arial"/>
        <b/>
        <color theme="1"/>
      </rPr>
      <t>Product Price vs. Rating (Log Scale Price)</t>
    </r>
    <r>
      <rPr>
        <rFont val="Arial"/>
        <color theme="1"/>
      </rPr>
      <t>: Explores whether higher-priced items correlate with higher ratings (note the log scale used to accommodate the wide price range).</t>
    </r>
  </si>
  <si>
    <t>Sentiment</t>
  </si>
  <si>
    <t>Count</t>
  </si>
  <si>
    <t>Mixed</t>
  </si>
  <si>
    <t>Negative</t>
  </si>
  <si>
    <t>Positive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</si>
</sst>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wrapText="1"/>
    </xf>
    <xf borderId="0" fillId="0" fontId="1" numFmtId="0" xfId="0" applyAlignment="1" applyFont="1">
      <alignment readingOrder="0" shrinkToFit="0"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s>
  <tableStyles count="5">
    <tableStyle count="4" pivot="0" name="product_description-style">
      <tableStyleElement dxfId="1" type="headerRow"/>
      <tableStyleElement dxfId="2" type="firstRowStripe"/>
      <tableStyleElement dxfId="3" type="secondRowStripe"/>
      <tableStyleElement dxfId="4" size="0" type="wholeTable"/>
    </tableStyle>
    <tableStyle count="4" pivot="0" name="Product Price vs. Rating (Log S-style">
      <tableStyleElement dxfId="5" type="headerRow"/>
      <tableStyleElement dxfId="2" type="firstRowStripe"/>
      <tableStyleElement dxfId="3" type="secondRowStripe"/>
      <tableStyleElement dxfId="4" size="0" type="wholeTable"/>
    </tableStyle>
    <tableStyle count="4" pivot="0" name="Average Product Price by Catego-style">
      <tableStyleElement dxfId="5" type="headerRow"/>
      <tableStyleElement dxfId="2" type="firstRowStripe"/>
      <tableStyleElement dxfId="3" type="secondRowStripe"/>
      <tableStyleElement dxfId="4" size="0" type="wholeTable"/>
    </tableStyle>
    <tableStyle count="4" pivot="0" name="Number of Products by Category-style">
      <tableStyleElement dxfId="5" type="headerRow"/>
      <tableStyleElement dxfId="2" type="firstRowStripe"/>
      <tableStyleElement dxfId="3" type="secondRowStripe"/>
      <tableStyleElement dxfId="4" size="0" type="wholeTable"/>
    </tableStyle>
    <tableStyle count="4" pivot="0" name="Sentiment Analysis of Products-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Product Price vs. Rating (Log Scale Price)</a:t>
            </a:r>
          </a:p>
        </c:rich>
      </c:tx>
      <c:overlay val="0"/>
    </c:title>
    <c:plotArea>
      <c:layout/>
      <c:bubbleChart>
        <c:ser>
          <c:idx val="0"/>
          <c:order val="0"/>
          <c:tx>
            <c:strRef>
              <c:f>'Product Price vs. Rating (Log S'!$A$4</c:f>
            </c:strRef>
          </c:tx>
          <c:dLbls>
            <c:dLblPos val="ctr"/>
            <c:showLegendKey val="0"/>
            <c:showVal val="0"/>
            <c:showCatName val="0"/>
            <c:showSerName val="1"/>
            <c:showPercent val="0"/>
            <c:showBubbleSize val="0"/>
          </c:dLbls>
          <c:xVal>
            <c:strRef>
              <c:f>'Product Price vs. Rating (Log S'!$B$4</c:f>
            </c:strRef>
          </c:xVal>
          <c:yVal>
            <c:numRef>
              <c:f>'Product Price vs. Rating (Log S'!$C$4</c:f>
              <c:numCache/>
            </c:numRef>
          </c:yVal>
          <c:bubbleSize>
            <c:numLit>
              <c:ptCount val="1"/>
              <c:pt idx="0">
                <c:v>1</c:v>
              </c:pt>
            </c:numLit>
          </c:bubbleSize>
        </c:ser>
        <c:ser>
          <c:idx val="1"/>
          <c:order val="1"/>
          <c:tx>
            <c:strRef>
              <c:f>'Product Price vs. Rating (Log S'!$A$5</c:f>
            </c:strRef>
          </c:tx>
          <c:dLbls>
            <c:dLblPos val="ctr"/>
            <c:showLegendKey val="0"/>
            <c:showVal val="0"/>
            <c:showCatName val="0"/>
            <c:showSerName val="1"/>
            <c:showPercent val="0"/>
            <c:showBubbleSize val="0"/>
          </c:dLbls>
          <c:xVal>
            <c:strRef>
              <c:f>'Product Price vs. Rating (Log S'!$B$5</c:f>
            </c:strRef>
          </c:xVal>
          <c:yVal>
            <c:numRef>
              <c:f>'Product Price vs. Rating (Log S'!$C$5</c:f>
              <c:numCache/>
            </c:numRef>
          </c:yVal>
          <c:bubbleSize>
            <c:numLit>
              <c:ptCount val="1"/>
              <c:pt idx="0">
                <c:v>1</c:v>
              </c:pt>
            </c:numLit>
          </c:bubbleSize>
        </c:ser>
        <c:ser>
          <c:idx val="2"/>
          <c:order val="2"/>
          <c:tx>
            <c:strRef>
              <c:f>'Product Price vs. Rating (Log S'!$A$6</c:f>
            </c:strRef>
          </c:tx>
          <c:dLbls>
            <c:dLblPos val="ctr"/>
            <c:showLegendKey val="0"/>
            <c:showVal val="0"/>
            <c:showCatName val="0"/>
            <c:showSerName val="1"/>
            <c:showPercent val="0"/>
            <c:showBubbleSize val="0"/>
          </c:dLbls>
          <c:xVal>
            <c:strRef>
              <c:f>'Product Price vs. Rating (Log S'!$B$6</c:f>
            </c:strRef>
          </c:xVal>
          <c:yVal>
            <c:numRef>
              <c:f>'Product Price vs. Rating (Log S'!$C$6</c:f>
              <c:numCache/>
            </c:numRef>
          </c:yVal>
          <c:bubbleSize>
            <c:numLit>
              <c:ptCount val="1"/>
              <c:pt idx="0">
                <c:v>1</c:v>
              </c:pt>
            </c:numLit>
          </c:bubbleSize>
        </c:ser>
        <c:ser>
          <c:idx val="3"/>
          <c:order val="3"/>
          <c:tx>
            <c:strRef>
              <c:f>'Product Price vs. Rating (Log S'!$A$7</c:f>
            </c:strRef>
          </c:tx>
          <c:dLbls>
            <c:dLblPos val="ctr"/>
            <c:showLegendKey val="0"/>
            <c:showVal val="0"/>
            <c:showCatName val="0"/>
            <c:showSerName val="1"/>
            <c:showPercent val="0"/>
            <c:showBubbleSize val="0"/>
          </c:dLbls>
          <c:xVal>
            <c:strRef>
              <c:f>'Product Price vs. Rating (Log S'!$B$7</c:f>
            </c:strRef>
          </c:xVal>
          <c:yVal>
            <c:numRef>
              <c:f>'Product Price vs. Rating (Log S'!$C$7</c:f>
              <c:numCache/>
            </c:numRef>
          </c:yVal>
          <c:bubbleSize>
            <c:numLit>
              <c:ptCount val="1"/>
              <c:pt idx="0">
                <c:v>1</c:v>
              </c:pt>
            </c:numLit>
          </c:bubbleSize>
        </c:ser>
        <c:ser>
          <c:idx val="4"/>
          <c:order val="4"/>
          <c:tx>
            <c:strRef>
              <c:f>'Product Price vs. Rating (Log S'!$A$8</c:f>
            </c:strRef>
          </c:tx>
          <c:dLbls>
            <c:dLblPos val="ctr"/>
            <c:showLegendKey val="0"/>
            <c:showVal val="0"/>
            <c:showCatName val="0"/>
            <c:showSerName val="1"/>
            <c:showPercent val="0"/>
            <c:showBubbleSize val="0"/>
          </c:dLbls>
          <c:xVal>
            <c:strRef>
              <c:f>'Product Price vs. Rating (Log S'!$B$8</c:f>
            </c:strRef>
          </c:xVal>
          <c:yVal>
            <c:numRef>
              <c:f>'Product Price vs. Rating (Log S'!$C$8</c:f>
              <c:numCache/>
            </c:numRef>
          </c:yVal>
          <c:bubbleSize>
            <c:numLit>
              <c:ptCount val="1"/>
              <c:pt idx="0">
                <c:v>1</c:v>
              </c:pt>
            </c:numLit>
          </c:bubbleSize>
        </c:ser>
        <c:ser>
          <c:idx val="5"/>
          <c:order val="5"/>
          <c:tx>
            <c:strRef>
              <c:f>'Product Price vs. Rating (Log S'!$A$9</c:f>
            </c:strRef>
          </c:tx>
          <c:dLbls>
            <c:dLblPos val="ctr"/>
            <c:showLegendKey val="0"/>
            <c:showVal val="0"/>
            <c:showCatName val="0"/>
            <c:showSerName val="1"/>
            <c:showPercent val="0"/>
            <c:showBubbleSize val="0"/>
          </c:dLbls>
          <c:xVal>
            <c:strRef>
              <c:f>'Product Price vs. Rating (Log S'!$B$9</c:f>
            </c:strRef>
          </c:xVal>
          <c:yVal>
            <c:numRef>
              <c:f>'Product Price vs. Rating (Log S'!$C$9</c:f>
              <c:numCache/>
            </c:numRef>
          </c:yVal>
          <c:bubbleSize>
            <c:numLit>
              <c:ptCount val="1"/>
              <c:pt idx="0">
                <c:v>1</c:v>
              </c:pt>
            </c:numLit>
          </c:bubbleSize>
        </c:ser>
        <c:ser>
          <c:idx val="6"/>
          <c:order val="6"/>
          <c:tx>
            <c:strRef>
              <c:f>'Product Price vs. Rating (Log S'!$A$10</c:f>
            </c:strRef>
          </c:tx>
          <c:dLbls>
            <c:dLblPos val="ctr"/>
            <c:showLegendKey val="0"/>
            <c:showVal val="0"/>
            <c:showCatName val="0"/>
            <c:showSerName val="1"/>
            <c:showPercent val="0"/>
            <c:showBubbleSize val="0"/>
          </c:dLbls>
          <c:xVal>
            <c:strRef>
              <c:f>'Product Price vs. Rating (Log S'!$B$10</c:f>
            </c:strRef>
          </c:xVal>
          <c:yVal>
            <c:numRef>
              <c:f>'Product Price vs. Rating (Log S'!$C$10</c:f>
              <c:numCache/>
            </c:numRef>
          </c:yVal>
          <c:bubbleSize>
            <c:numLit>
              <c:ptCount val="1"/>
              <c:pt idx="0">
                <c:v>1</c:v>
              </c:pt>
            </c:numLit>
          </c:bubbleSize>
        </c:ser>
        <c:ser>
          <c:idx val="7"/>
          <c:order val="7"/>
          <c:tx>
            <c:strRef>
              <c:f>'Product Price vs. Rating (Log S'!$A$11</c:f>
            </c:strRef>
          </c:tx>
          <c:dLbls>
            <c:dLblPos val="ctr"/>
            <c:showLegendKey val="0"/>
            <c:showVal val="0"/>
            <c:showCatName val="0"/>
            <c:showSerName val="1"/>
            <c:showPercent val="0"/>
            <c:showBubbleSize val="0"/>
          </c:dLbls>
          <c:xVal>
            <c:strRef>
              <c:f>'Product Price vs. Rating (Log S'!$B$11</c:f>
            </c:strRef>
          </c:xVal>
          <c:yVal>
            <c:numRef>
              <c:f>'Product Price vs. Rating (Log S'!$C$11</c:f>
              <c:numCache/>
            </c:numRef>
          </c:yVal>
          <c:bubbleSize>
            <c:numLit>
              <c:ptCount val="1"/>
              <c:pt idx="0">
                <c:v>1</c:v>
              </c:pt>
            </c:numLit>
          </c:bubbleSize>
        </c:ser>
        <c:ser>
          <c:idx val="8"/>
          <c:order val="8"/>
          <c:tx>
            <c:strRef>
              <c:f>'Product Price vs. Rating (Log S'!$A$12</c:f>
            </c:strRef>
          </c:tx>
          <c:dLbls>
            <c:dLblPos val="ctr"/>
            <c:showLegendKey val="0"/>
            <c:showVal val="0"/>
            <c:showCatName val="0"/>
            <c:showSerName val="1"/>
            <c:showPercent val="0"/>
            <c:showBubbleSize val="0"/>
          </c:dLbls>
          <c:xVal>
            <c:strRef>
              <c:f>'Product Price vs. Rating (Log S'!$B$12</c:f>
            </c:strRef>
          </c:xVal>
          <c:yVal>
            <c:numRef>
              <c:f>'Product Price vs. Rating (Log S'!$C$12</c:f>
              <c:numCache/>
            </c:numRef>
          </c:yVal>
          <c:bubbleSize>
            <c:numLit>
              <c:ptCount val="1"/>
              <c:pt idx="0">
                <c:v>1</c:v>
              </c:pt>
            </c:numLit>
          </c:bubbleSize>
        </c:ser>
        <c:ser>
          <c:idx val="9"/>
          <c:order val="9"/>
          <c:tx>
            <c:strRef>
              <c:f>'Product Price vs. Rating (Log S'!$A$13</c:f>
            </c:strRef>
          </c:tx>
          <c:dLbls>
            <c:dLblPos val="ctr"/>
            <c:showLegendKey val="0"/>
            <c:showVal val="0"/>
            <c:showCatName val="0"/>
            <c:showSerName val="1"/>
            <c:showPercent val="0"/>
            <c:showBubbleSize val="0"/>
          </c:dLbls>
          <c:xVal>
            <c:strRef>
              <c:f>'Product Price vs. Rating (Log S'!$B$13</c:f>
            </c:strRef>
          </c:xVal>
          <c:yVal>
            <c:numRef>
              <c:f>'Product Price vs. Rating (Log S'!$C$13</c:f>
              <c:numCache/>
            </c:numRef>
          </c:yVal>
          <c:bubbleSize>
            <c:numLit>
              <c:ptCount val="1"/>
              <c:pt idx="0">
                <c:v>1</c:v>
              </c:pt>
            </c:numLit>
          </c:bubbleSize>
        </c:ser>
        <c:ser>
          <c:idx val="10"/>
          <c:order val="10"/>
          <c:tx>
            <c:strRef>
              <c:f>'Product Price vs. Rating (Log S'!$A$14</c:f>
            </c:strRef>
          </c:tx>
          <c:dLbls>
            <c:dLblPos val="ctr"/>
            <c:showLegendKey val="0"/>
            <c:showVal val="0"/>
            <c:showCatName val="0"/>
            <c:showSerName val="1"/>
            <c:showPercent val="0"/>
            <c:showBubbleSize val="0"/>
          </c:dLbls>
          <c:xVal>
            <c:strRef>
              <c:f>'Product Price vs. Rating (Log S'!$B$14</c:f>
            </c:strRef>
          </c:xVal>
          <c:yVal>
            <c:numRef>
              <c:f>'Product Price vs. Rating (Log S'!$C$14</c:f>
              <c:numCache/>
            </c:numRef>
          </c:yVal>
          <c:bubbleSize>
            <c:numLit>
              <c:ptCount val="1"/>
              <c:pt idx="0">
                <c:v>1</c:v>
              </c:pt>
            </c:numLit>
          </c:bubbleSize>
        </c:ser>
        <c:ser>
          <c:idx val="11"/>
          <c:order val="11"/>
          <c:tx>
            <c:strRef>
              <c:f>'Product Price vs. Rating (Log S'!$A$15</c:f>
            </c:strRef>
          </c:tx>
          <c:dLbls>
            <c:dLblPos val="ctr"/>
            <c:showLegendKey val="0"/>
            <c:showVal val="0"/>
            <c:showCatName val="0"/>
            <c:showSerName val="1"/>
            <c:showPercent val="0"/>
            <c:showBubbleSize val="0"/>
          </c:dLbls>
          <c:xVal>
            <c:strRef>
              <c:f>'Product Price vs. Rating (Log S'!$B$15</c:f>
            </c:strRef>
          </c:xVal>
          <c:yVal>
            <c:numRef>
              <c:f>'Product Price vs. Rating (Log S'!$C$15</c:f>
              <c:numCache/>
            </c:numRef>
          </c:yVal>
          <c:bubbleSize>
            <c:numLit>
              <c:ptCount val="1"/>
              <c:pt idx="0">
                <c:v>1</c:v>
              </c:pt>
            </c:numLit>
          </c:bubbleSize>
        </c:ser>
        <c:ser>
          <c:idx val="12"/>
          <c:order val="12"/>
          <c:tx>
            <c:strRef>
              <c:f>'Product Price vs. Rating (Log S'!$A$16</c:f>
            </c:strRef>
          </c:tx>
          <c:dLbls>
            <c:dLblPos val="ctr"/>
            <c:showLegendKey val="0"/>
            <c:showVal val="0"/>
            <c:showCatName val="0"/>
            <c:showSerName val="1"/>
            <c:showPercent val="0"/>
            <c:showBubbleSize val="0"/>
          </c:dLbls>
          <c:xVal>
            <c:strRef>
              <c:f>'Product Price vs. Rating (Log S'!$B$16</c:f>
            </c:strRef>
          </c:xVal>
          <c:yVal>
            <c:numRef>
              <c:f>'Product Price vs. Rating (Log S'!$C$16</c:f>
              <c:numCache/>
            </c:numRef>
          </c:yVal>
          <c:bubbleSize>
            <c:numLit>
              <c:ptCount val="1"/>
              <c:pt idx="0">
                <c:v>1</c:v>
              </c:pt>
            </c:numLit>
          </c:bubbleSize>
        </c:ser>
        <c:ser>
          <c:idx val="13"/>
          <c:order val="13"/>
          <c:tx>
            <c:strRef>
              <c:f>'Product Price vs. Rating (Log S'!$A$17</c:f>
            </c:strRef>
          </c:tx>
          <c:dLbls>
            <c:dLblPos val="ctr"/>
            <c:showLegendKey val="0"/>
            <c:showVal val="0"/>
            <c:showCatName val="0"/>
            <c:showSerName val="1"/>
            <c:showPercent val="0"/>
            <c:showBubbleSize val="0"/>
          </c:dLbls>
          <c:xVal>
            <c:strRef>
              <c:f>'Product Price vs. Rating (Log S'!$B$17</c:f>
            </c:strRef>
          </c:xVal>
          <c:yVal>
            <c:numRef>
              <c:f>'Product Price vs. Rating (Log S'!$C$17</c:f>
              <c:numCache/>
            </c:numRef>
          </c:yVal>
          <c:bubbleSize>
            <c:numLit>
              <c:ptCount val="1"/>
              <c:pt idx="0">
                <c:v>1</c:v>
              </c:pt>
            </c:numLit>
          </c:bubbleSize>
        </c:ser>
        <c:ser>
          <c:idx val="14"/>
          <c:order val="14"/>
          <c:tx>
            <c:strRef>
              <c:f>'Product Price vs. Rating (Log S'!$A$18</c:f>
            </c:strRef>
          </c:tx>
          <c:dLbls>
            <c:dLblPos val="ctr"/>
            <c:showLegendKey val="0"/>
            <c:showVal val="0"/>
            <c:showCatName val="0"/>
            <c:showSerName val="1"/>
            <c:showPercent val="0"/>
            <c:showBubbleSize val="0"/>
          </c:dLbls>
          <c:xVal>
            <c:strRef>
              <c:f>'Product Price vs. Rating (Log S'!$B$18</c:f>
            </c:strRef>
          </c:xVal>
          <c:yVal>
            <c:numRef>
              <c:f>'Product Price vs. Rating (Log S'!$C$18</c:f>
              <c:numCache/>
            </c:numRef>
          </c:yVal>
          <c:bubbleSize>
            <c:numLit>
              <c:ptCount val="1"/>
              <c:pt idx="0">
                <c:v>1</c:v>
              </c:pt>
            </c:numLit>
          </c:bubbleSize>
        </c:ser>
        <c:ser>
          <c:idx val="15"/>
          <c:order val="15"/>
          <c:tx>
            <c:strRef>
              <c:f>'Product Price vs. Rating (Log S'!$A$19</c:f>
            </c:strRef>
          </c:tx>
          <c:dLbls>
            <c:dLblPos val="ctr"/>
            <c:showLegendKey val="0"/>
            <c:showVal val="0"/>
            <c:showCatName val="0"/>
            <c:showSerName val="1"/>
            <c:showPercent val="0"/>
            <c:showBubbleSize val="0"/>
          </c:dLbls>
          <c:xVal>
            <c:strRef>
              <c:f>'Product Price vs. Rating (Log S'!$B$19</c:f>
            </c:strRef>
          </c:xVal>
          <c:yVal>
            <c:numRef>
              <c:f>'Product Price vs. Rating (Log S'!$C$19</c:f>
              <c:numCache/>
            </c:numRef>
          </c:yVal>
          <c:bubbleSize>
            <c:numLit>
              <c:ptCount val="1"/>
              <c:pt idx="0">
                <c:v>1</c:v>
              </c:pt>
            </c:numLit>
          </c:bubbleSize>
        </c:ser>
        <c:ser>
          <c:idx val="16"/>
          <c:order val="16"/>
          <c:tx>
            <c:strRef>
              <c:f>'Product Price vs. Rating (Log S'!$A$20</c:f>
            </c:strRef>
          </c:tx>
          <c:dLbls>
            <c:dLblPos val="ctr"/>
            <c:showLegendKey val="0"/>
            <c:showVal val="0"/>
            <c:showCatName val="0"/>
            <c:showSerName val="1"/>
            <c:showPercent val="0"/>
            <c:showBubbleSize val="0"/>
          </c:dLbls>
          <c:xVal>
            <c:strRef>
              <c:f>'Product Price vs. Rating (Log S'!$B$20</c:f>
            </c:strRef>
          </c:xVal>
          <c:yVal>
            <c:numRef>
              <c:f>'Product Price vs. Rating (Log S'!$C$20</c:f>
              <c:numCache/>
            </c:numRef>
          </c:yVal>
          <c:bubbleSize>
            <c:numLit>
              <c:ptCount val="1"/>
              <c:pt idx="0">
                <c:v>1</c:v>
              </c:pt>
            </c:numLit>
          </c:bubbleSize>
        </c:ser>
        <c:ser>
          <c:idx val="17"/>
          <c:order val="17"/>
          <c:tx>
            <c:strRef>
              <c:f>'Product Price vs. Rating (Log S'!$A$21</c:f>
            </c:strRef>
          </c:tx>
          <c:dLbls>
            <c:dLblPos val="ctr"/>
            <c:showLegendKey val="0"/>
            <c:showVal val="0"/>
            <c:showCatName val="0"/>
            <c:showSerName val="1"/>
            <c:showPercent val="0"/>
            <c:showBubbleSize val="0"/>
          </c:dLbls>
          <c:xVal>
            <c:strRef>
              <c:f>'Product Price vs. Rating (Log S'!$B$21</c:f>
            </c:strRef>
          </c:xVal>
          <c:yVal>
            <c:numRef>
              <c:f>'Product Price vs. Rating (Log S'!$C$21</c:f>
              <c:numCache/>
            </c:numRef>
          </c:yVal>
          <c:bubbleSize>
            <c:numLit>
              <c:ptCount val="1"/>
              <c:pt idx="0">
                <c:v>1</c:v>
              </c:pt>
            </c:numLit>
          </c:bubbleSize>
        </c:ser>
        <c:ser>
          <c:idx val="18"/>
          <c:order val="18"/>
          <c:tx>
            <c:strRef>
              <c:f>'Product Price vs. Rating (Log S'!$A$22</c:f>
            </c:strRef>
          </c:tx>
          <c:dLbls>
            <c:dLblPos val="ctr"/>
            <c:showLegendKey val="0"/>
            <c:showVal val="0"/>
            <c:showCatName val="0"/>
            <c:showSerName val="1"/>
            <c:showPercent val="0"/>
            <c:showBubbleSize val="0"/>
          </c:dLbls>
          <c:xVal>
            <c:strRef>
              <c:f>'Product Price vs. Rating (Log S'!$B$22</c:f>
            </c:strRef>
          </c:xVal>
          <c:yVal>
            <c:numRef>
              <c:f>'Product Price vs. Rating (Log S'!$C$22</c:f>
              <c:numCache/>
            </c:numRef>
          </c:yVal>
          <c:bubbleSize>
            <c:numLit>
              <c:ptCount val="1"/>
              <c:pt idx="0">
                <c:v>1</c:v>
              </c:pt>
            </c:numLit>
          </c:bubbleSize>
        </c:ser>
        <c:ser>
          <c:idx val="19"/>
          <c:order val="19"/>
          <c:tx>
            <c:strRef>
              <c:f>'Product Price vs. Rating (Log S'!$A$23</c:f>
            </c:strRef>
          </c:tx>
          <c:dLbls>
            <c:dLblPos val="ctr"/>
            <c:showLegendKey val="0"/>
            <c:showVal val="0"/>
            <c:showCatName val="0"/>
            <c:showSerName val="1"/>
            <c:showPercent val="0"/>
            <c:showBubbleSize val="0"/>
          </c:dLbls>
          <c:xVal>
            <c:strRef>
              <c:f>'Product Price vs. Rating (Log S'!$B$23</c:f>
            </c:strRef>
          </c:xVal>
          <c:yVal>
            <c:numRef>
              <c:f>'Product Price vs. Rating (Log S'!$C$23</c:f>
              <c:numCache/>
            </c:numRef>
          </c:yVal>
          <c:bubbleSize>
            <c:numLit>
              <c:ptCount val="1"/>
              <c:pt idx="0">
                <c:v>1</c:v>
              </c:pt>
            </c:numLit>
          </c:bubbleSize>
        </c:ser>
        <c:ser>
          <c:idx val="20"/>
          <c:order val="20"/>
          <c:tx>
            <c:strRef>
              <c:f>'Product Price vs. Rating (Log S'!$A$24</c:f>
            </c:strRef>
          </c:tx>
          <c:dLbls>
            <c:dLblPos val="ctr"/>
            <c:showLegendKey val="0"/>
            <c:showVal val="0"/>
            <c:showCatName val="0"/>
            <c:showSerName val="1"/>
            <c:showPercent val="0"/>
            <c:showBubbleSize val="0"/>
          </c:dLbls>
          <c:xVal>
            <c:strRef>
              <c:f>'Product Price vs. Rating (Log S'!$B$24</c:f>
            </c:strRef>
          </c:xVal>
          <c:yVal>
            <c:numRef>
              <c:f>'Product Price vs. Rating (Log S'!$C$24</c:f>
              <c:numCache/>
            </c:numRef>
          </c:yVal>
          <c:bubbleSize>
            <c:numLit>
              <c:ptCount val="1"/>
              <c:pt idx="0">
                <c:v>1</c:v>
              </c:pt>
            </c:numLit>
          </c:bubbleSize>
        </c:ser>
        <c:ser>
          <c:idx val="21"/>
          <c:order val="21"/>
          <c:tx>
            <c:strRef>
              <c:f>'Product Price vs. Rating (Log S'!$A$25</c:f>
            </c:strRef>
          </c:tx>
          <c:dLbls>
            <c:dLblPos val="ctr"/>
            <c:showLegendKey val="0"/>
            <c:showVal val="0"/>
            <c:showCatName val="0"/>
            <c:showSerName val="1"/>
            <c:showPercent val="0"/>
            <c:showBubbleSize val="0"/>
          </c:dLbls>
          <c:xVal>
            <c:strRef>
              <c:f>'Product Price vs. Rating (Log S'!$B$25</c:f>
            </c:strRef>
          </c:xVal>
          <c:yVal>
            <c:numRef>
              <c:f>'Product Price vs. Rating (Log S'!$C$25</c:f>
              <c:numCache/>
            </c:numRef>
          </c:yVal>
          <c:bubbleSize>
            <c:numLit>
              <c:ptCount val="1"/>
              <c:pt idx="0">
                <c:v>1</c:v>
              </c:pt>
            </c:numLit>
          </c:bubbleSize>
        </c:ser>
        <c:ser>
          <c:idx val="22"/>
          <c:order val="22"/>
          <c:tx>
            <c:strRef>
              <c:f>'Product Price vs. Rating (Log S'!$A$26</c:f>
            </c:strRef>
          </c:tx>
          <c:dLbls>
            <c:dLblPos val="ctr"/>
            <c:showLegendKey val="0"/>
            <c:showVal val="0"/>
            <c:showCatName val="0"/>
            <c:showSerName val="1"/>
            <c:showPercent val="0"/>
            <c:showBubbleSize val="0"/>
          </c:dLbls>
          <c:xVal>
            <c:strRef>
              <c:f>'Product Price vs. Rating (Log S'!$B$26</c:f>
            </c:strRef>
          </c:xVal>
          <c:yVal>
            <c:numRef>
              <c:f>'Product Price vs. Rating (Log S'!$C$26</c:f>
              <c:numCache/>
            </c:numRef>
          </c:yVal>
          <c:bubbleSize>
            <c:numLit>
              <c:ptCount val="1"/>
              <c:pt idx="0">
                <c:v>1</c:v>
              </c:pt>
            </c:numLit>
          </c:bubbleSize>
        </c:ser>
        <c:ser>
          <c:idx val="23"/>
          <c:order val="23"/>
          <c:tx>
            <c:strRef>
              <c:f>'Product Price vs. Rating (Log S'!$A$27</c:f>
            </c:strRef>
          </c:tx>
          <c:dLbls>
            <c:dLblPos val="ctr"/>
            <c:showLegendKey val="0"/>
            <c:showVal val="0"/>
            <c:showCatName val="0"/>
            <c:showSerName val="1"/>
            <c:showPercent val="0"/>
            <c:showBubbleSize val="0"/>
          </c:dLbls>
          <c:xVal>
            <c:strRef>
              <c:f>'Product Price vs. Rating (Log S'!$B$27</c:f>
            </c:strRef>
          </c:xVal>
          <c:yVal>
            <c:numRef>
              <c:f>'Product Price vs. Rating (Log S'!$C$27</c:f>
              <c:numCache/>
            </c:numRef>
          </c:yVal>
          <c:bubbleSize>
            <c:numLit>
              <c:ptCount val="1"/>
              <c:pt idx="0">
                <c:v>1</c:v>
              </c:pt>
            </c:numLit>
          </c:bubbleSize>
        </c:ser>
        <c:ser>
          <c:idx val="24"/>
          <c:order val="24"/>
          <c:tx>
            <c:strRef>
              <c:f>'Product Price vs. Rating (Log S'!$A$28</c:f>
            </c:strRef>
          </c:tx>
          <c:dLbls>
            <c:dLblPos val="ctr"/>
            <c:showLegendKey val="0"/>
            <c:showVal val="0"/>
            <c:showCatName val="0"/>
            <c:showSerName val="1"/>
            <c:showPercent val="0"/>
            <c:showBubbleSize val="0"/>
          </c:dLbls>
          <c:xVal>
            <c:strRef>
              <c:f>'Product Price vs. Rating (Log S'!$B$28</c:f>
            </c:strRef>
          </c:xVal>
          <c:yVal>
            <c:numRef>
              <c:f>'Product Price vs. Rating (Log S'!$C$28</c:f>
              <c:numCache/>
            </c:numRef>
          </c:yVal>
          <c:bubbleSize>
            <c:numLit>
              <c:ptCount val="1"/>
              <c:pt idx="0">
                <c:v>1</c:v>
              </c:pt>
            </c:numLit>
          </c:bubbleSize>
        </c:ser>
        <c:ser>
          <c:idx val="25"/>
          <c:order val="25"/>
          <c:tx>
            <c:strRef>
              <c:f>'Product Price vs. Rating (Log S'!$A$29</c:f>
            </c:strRef>
          </c:tx>
          <c:dLbls>
            <c:dLblPos val="ctr"/>
            <c:showLegendKey val="0"/>
            <c:showVal val="0"/>
            <c:showCatName val="0"/>
            <c:showSerName val="1"/>
            <c:showPercent val="0"/>
            <c:showBubbleSize val="0"/>
          </c:dLbls>
          <c:xVal>
            <c:strRef>
              <c:f>'Product Price vs. Rating (Log S'!$B$29</c:f>
            </c:strRef>
          </c:xVal>
          <c:yVal>
            <c:numRef>
              <c:f>'Product Price vs. Rating (Log S'!$C$29</c:f>
              <c:numCache/>
            </c:numRef>
          </c:yVal>
          <c:bubbleSize>
            <c:numLit>
              <c:ptCount val="1"/>
              <c:pt idx="0">
                <c:v>1</c:v>
              </c:pt>
            </c:numLit>
          </c:bubbleSize>
        </c:ser>
        <c:ser>
          <c:idx val="26"/>
          <c:order val="26"/>
          <c:tx>
            <c:strRef>
              <c:f>'Product Price vs. Rating (Log S'!$A$30</c:f>
            </c:strRef>
          </c:tx>
          <c:dLbls>
            <c:dLblPos val="ctr"/>
            <c:showLegendKey val="0"/>
            <c:showVal val="0"/>
            <c:showCatName val="0"/>
            <c:showSerName val="1"/>
            <c:showPercent val="0"/>
            <c:showBubbleSize val="0"/>
          </c:dLbls>
          <c:xVal>
            <c:strRef>
              <c:f>'Product Price vs. Rating (Log S'!$B$30</c:f>
            </c:strRef>
          </c:xVal>
          <c:yVal>
            <c:numRef>
              <c:f>'Product Price vs. Rating (Log S'!$C$30</c:f>
              <c:numCache/>
            </c:numRef>
          </c:yVal>
          <c:bubbleSize>
            <c:numLit>
              <c:ptCount val="1"/>
              <c:pt idx="0">
                <c:v>1</c:v>
              </c:pt>
            </c:numLit>
          </c:bubbleSize>
        </c:ser>
        <c:ser>
          <c:idx val="27"/>
          <c:order val="27"/>
          <c:tx>
            <c:strRef>
              <c:f>'Product Price vs. Rating (Log S'!$A$31</c:f>
            </c:strRef>
          </c:tx>
          <c:dLbls>
            <c:dLblPos val="ctr"/>
            <c:showLegendKey val="0"/>
            <c:showVal val="0"/>
            <c:showCatName val="0"/>
            <c:showSerName val="1"/>
            <c:showPercent val="0"/>
            <c:showBubbleSize val="0"/>
          </c:dLbls>
          <c:xVal>
            <c:strRef>
              <c:f>'Product Price vs. Rating (Log S'!$B$31</c:f>
            </c:strRef>
          </c:xVal>
          <c:yVal>
            <c:numRef>
              <c:f>'Product Price vs. Rating (Log S'!$C$31</c:f>
              <c:numCache/>
            </c:numRef>
          </c:yVal>
          <c:bubbleSize>
            <c:numLit>
              <c:ptCount val="1"/>
              <c:pt idx="0">
                <c:v>1</c:v>
              </c:pt>
            </c:numLit>
          </c:bubbleSize>
        </c:ser>
        <c:ser>
          <c:idx val="28"/>
          <c:order val="28"/>
          <c:tx>
            <c:strRef>
              <c:f>'Product Price vs. Rating (Log S'!$A$32</c:f>
            </c:strRef>
          </c:tx>
          <c:dLbls>
            <c:dLblPos val="ctr"/>
            <c:showLegendKey val="0"/>
            <c:showVal val="0"/>
            <c:showCatName val="0"/>
            <c:showSerName val="1"/>
            <c:showPercent val="0"/>
            <c:showBubbleSize val="0"/>
          </c:dLbls>
          <c:xVal>
            <c:strRef>
              <c:f>'Product Price vs. Rating (Log S'!$B$32</c:f>
            </c:strRef>
          </c:xVal>
          <c:yVal>
            <c:numRef>
              <c:f>'Product Price vs. Rating (Log S'!$C$32</c:f>
              <c:numCache/>
            </c:numRef>
          </c:yVal>
          <c:bubbleSize>
            <c:numLit>
              <c:ptCount val="1"/>
              <c:pt idx="0">
                <c:v>1</c:v>
              </c:pt>
            </c:numLit>
          </c:bubbleSize>
        </c:ser>
        <c:ser>
          <c:idx val="29"/>
          <c:order val="29"/>
          <c:tx>
            <c:strRef>
              <c:f>'Product Price vs. Rating (Log S'!$A$33</c:f>
            </c:strRef>
          </c:tx>
          <c:dLbls>
            <c:dLblPos val="ctr"/>
            <c:showLegendKey val="0"/>
            <c:showVal val="0"/>
            <c:showCatName val="0"/>
            <c:showSerName val="1"/>
            <c:showPercent val="0"/>
            <c:showBubbleSize val="0"/>
          </c:dLbls>
          <c:xVal>
            <c:strRef>
              <c:f>'Product Price vs. Rating (Log S'!$B$33</c:f>
            </c:strRef>
          </c:xVal>
          <c:yVal>
            <c:numRef>
              <c:f>'Product Price vs. Rating (Log S'!$C$33</c:f>
              <c:numCache/>
            </c:numRef>
          </c:yVal>
          <c:bubbleSize>
            <c:numLit>
              <c:ptCount val="1"/>
              <c:pt idx="0">
                <c:v>1</c:v>
              </c:pt>
            </c:numLit>
          </c:bubbleSize>
        </c:ser>
        <c:ser>
          <c:idx val="30"/>
          <c:order val="30"/>
          <c:tx>
            <c:strRef>
              <c:f>'Product Price vs. Rating (Log S'!$A$34</c:f>
            </c:strRef>
          </c:tx>
          <c:dLbls>
            <c:dLblPos val="ctr"/>
            <c:showLegendKey val="0"/>
            <c:showVal val="0"/>
            <c:showCatName val="0"/>
            <c:showSerName val="1"/>
            <c:showPercent val="0"/>
            <c:showBubbleSize val="0"/>
          </c:dLbls>
          <c:xVal>
            <c:strRef>
              <c:f>'Product Price vs. Rating (Log S'!$B$34</c:f>
            </c:strRef>
          </c:xVal>
          <c:yVal>
            <c:numRef>
              <c:f>'Product Price vs. Rating (Log S'!$C$34</c:f>
              <c:numCache/>
            </c:numRef>
          </c:yVal>
          <c:bubbleSize>
            <c:numLit>
              <c:ptCount val="1"/>
              <c:pt idx="0">
                <c:v>1</c:v>
              </c:pt>
            </c:numLit>
          </c:bubbleSize>
        </c:ser>
        <c:ser>
          <c:idx val="31"/>
          <c:order val="31"/>
          <c:tx>
            <c:strRef>
              <c:f>'Product Price vs. Rating (Log S'!$A$35</c:f>
            </c:strRef>
          </c:tx>
          <c:dLbls>
            <c:dLblPos val="ctr"/>
            <c:showLegendKey val="0"/>
            <c:showVal val="0"/>
            <c:showCatName val="0"/>
            <c:showSerName val="1"/>
            <c:showPercent val="0"/>
            <c:showBubbleSize val="0"/>
          </c:dLbls>
          <c:xVal>
            <c:strRef>
              <c:f>'Product Price vs. Rating (Log S'!$B$35</c:f>
            </c:strRef>
          </c:xVal>
          <c:yVal>
            <c:numRef>
              <c:f>'Product Price vs. Rating (Log S'!$C$35</c:f>
              <c:numCache/>
            </c:numRef>
          </c:yVal>
          <c:bubbleSize>
            <c:numLit>
              <c:ptCount val="1"/>
              <c:pt idx="0">
                <c:v>1</c:v>
              </c:pt>
            </c:numLit>
          </c:bubbleSize>
        </c:ser>
        <c:ser>
          <c:idx val="32"/>
          <c:order val="32"/>
          <c:tx>
            <c:strRef>
              <c:f>'Product Price vs. Rating (Log S'!$A$36</c:f>
            </c:strRef>
          </c:tx>
          <c:dLbls>
            <c:dLblPos val="ctr"/>
            <c:showLegendKey val="0"/>
            <c:showVal val="0"/>
            <c:showCatName val="0"/>
            <c:showSerName val="1"/>
            <c:showPercent val="0"/>
            <c:showBubbleSize val="0"/>
          </c:dLbls>
          <c:xVal>
            <c:strRef>
              <c:f>'Product Price vs. Rating (Log S'!$B$36</c:f>
            </c:strRef>
          </c:xVal>
          <c:yVal>
            <c:numRef>
              <c:f>'Product Price vs. Rating (Log S'!$C$36</c:f>
              <c:numCache/>
            </c:numRef>
          </c:yVal>
          <c:bubbleSize>
            <c:numLit>
              <c:ptCount val="1"/>
              <c:pt idx="0">
                <c:v>1</c:v>
              </c:pt>
            </c:numLit>
          </c:bubbleSize>
        </c:ser>
        <c:ser>
          <c:idx val="33"/>
          <c:order val="33"/>
          <c:tx>
            <c:strRef>
              <c:f>'Product Price vs. Rating (Log S'!$A$37</c:f>
            </c:strRef>
          </c:tx>
          <c:dLbls>
            <c:dLblPos val="ctr"/>
            <c:showLegendKey val="0"/>
            <c:showVal val="0"/>
            <c:showCatName val="0"/>
            <c:showSerName val="1"/>
            <c:showPercent val="0"/>
            <c:showBubbleSize val="0"/>
          </c:dLbls>
          <c:xVal>
            <c:strRef>
              <c:f>'Product Price vs. Rating (Log S'!$B$37</c:f>
            </c:strRef>
          </c:xVal>
          <c:yVal>
            <c:numRef>
              <c:f>'Product Price vs. Rating (Log S'!$C$37</c:f>
              <c:numCache/>
            </c:numRef>
          </c:yVal>
          <c:bubbleSize>
            <c:numLit>
              <c:ptCount val="1"/>
              <c:pt idx="0">
                <c:v>1</c:v>
              </c:pt>
            </c:numLit>
          </c:bubbleSize>
        </c:ser>
        <c:ser>
          <c:idx val="34"/>
          <c:order val="34"/>
          <c:tx>
            <c:strRef>
              <c:f>'Product Price vs. Rating (Log S'!$A$38</c:f>
            </c:strRef>
          </c:tx>
          <c:dLbls>
            <c:dLblPos val="ctr"/>
            <c:showLegendKey val="0"/>
            <c:showVal val="0"/>
            <c:showCatName val="0"/>
            <c:showSerName val="1"/>
            <c:showPercent val="0"/>
            <c:showBubbleSize val="0"/>
          </c:dLbls>
          <c:xVal>
            <c:strRef>
              <c:f>'Product Price vs. Rating (Log S'!$B$38</c:f>
            </c:strRef>
          </c:xVal>
          <c:yVal>
            <c:numRef>
              <c:f>'Product Price vs. Rating (Log S'!$C$38</c:f>
              <c:numCache/>
            </c:numRef>
          </c:yVal>
          <c:bubbleSize>
            <c:numLit>
              <c:ptCount val="1"/>
              <c:pt idx="0">
                <c:v>1</c:v>
              </c:pt>
            </c:numLit>
          </c:bubbleSize>
        </c:ser>
        <c:ser>
          <c:idx val="35"/>
          <c:order val="35"/>
          <c:tx>
            <c:strRef>
              <c:f>'Product Price vs. Rating (Log S'!$A$39</c:f>
            </c:strRef>
          </c:tx>
          <c:dLbls>
            <c:dLblPos val="ctr"/>
            <c:showLegendKey val="0"/>
            <c:showVal val="0"/>
            <c:showCatName val="0"/>
            <c:showSerName val="1"/>
            <c:showPercent val="0"/>
            <c:showBubbleSize val="0"/>
          </c:dLbls>
          <c:xVal>
            <c:strRef>
              <c:f>'Product Price vs. Rating (Log S'!$B$39</c:f>
            </c:strRef>
          </c:xVal>
          <c:yVal>
            <c:numRef>
              <c:f>'Product Price vs. Rating (Log S'!$C$39</c:f>
              <c:numCache/>
            </c:numRef>
          </c:yVal>
          <c:bubbleSize>
            <c:numLit>
              <c:ptCount val="1"/>
              <c:pt idx="0">
                <c:v>1</c:v>
              </c:pt>
            </c:numLit>
          </c:bubbleSize>
        </c:ser>
        <c:ser>
          <c:idx val="36"/>
          <c:order val="36"/>
          <c:tx>
            <c:strRef>
              <c:f>'Product Price vs. Rating (Log S'!$A$40</c:f>
            </c:strRef>
          </c:tx>
          <c:dLbls>
            <c:dLblPos val="ctr"/>
            <c:showLegendKey val="0"/>
            <c:showVal val="0"/>
            <c:showCatName val="0"/>
            <c:showSerName val="1"/>
            <c:showPercent val="0"/>
            <c:showBubbleSize val="0"/>
          </c:dLbls>
          <c:xVal>
            <c:strRef>
              <c:f>'Product Price vs. Rating (Log S'!$B$40</c:f>
            </c:strRef>
          </c:xVal>
          <c:yVal>
            <c:numRef>
              <c:f>'Product Price vs. Rating (Log S'!$C$40</c:f>
              <c:numCache/>
            </c:numRef>
          </c:yVal>
          <c:bubbleSize>
            <c:numLit>
              <c:ptCount val="1"/>
              <c:pt idx="0">
                <c:v>1</c:v>
              </c:pt>
            </c:numLit>
          </c:bubbleSize>
        </c:ser>
        <c:ser>
          <c:idx val="37"/>
          <c:order val="37"/>
          <c:tx>
            <c:strRef>
              <c:f>'Product Price vs. Rating (Log S'!$A$41</c:f>
            </c:strRef>
          </c:tx>
          <c:dLbls>
            <c:dLblPos val="ctr"/>
            <c:showLegendKey val="0"/>
            <c:showVal val="0"/>
            <c:showCatName val="0"/>
            <c:showSerName val="1"/>
            <c:showPercent val="0"/>
            <c:showBubbleSize val="0"/>
          </c:dLbls>
          <c:xVal>
            <c:strRef>
              <c:f>'Product Price vs. Rating (Log S'!$B$41</c:f>
            </c:strRef>
          </c:xVal>
          <c:yVal>
            <c:numRef>
              <c:f>'Product Price vs. Rating (Log S'!$C$41</c:f>
              <c:numCache/>
            </c:numRef>
          </c:yVal>
          <c:bubbleSize>
            <c:numLit>
              <c:ptCount val="1"/>
              <c:pt idx="0">
                <c:v>1</c:v>
              </c:pt>
            </c:numLit>
          </c:bubbleSize>
        </c:ser>
        <c:ser>
          <c:idx val="38"/>
          <c:order val="38"/>
          <c:tx>
            <c:strRef>
              <c:f>'Product Price vs. Rating (Log S'!$A$42</c:f>
            </c:strRef>
          </c:tx>
          <c:dLbls>
            <c:dLblPos val="ctr"/>
            <c:showLegendKey val="0"/>
            <c:showVal val="0"/>
            <c:showCatName val="0"/>
            <c:showSerName val="1"/>
            <c:showPercent val="0"/>
            <c:showBubbleSize val="0"/>
          </c:dLbls>
          <c:xVal>
            <c:strRef>
              <c:f>'Product Price vs. Rating (Log S'!$B$42</c:f>
            </c:strRef>
          </c:xVal>
          <c:yVal>
            <c:numRef>
              <c:f>'Product Price vs. Rating (Log S'!$C$42</c:f>
              <c:numCache/>
            </c:numRef>
          </c:yVal>
          <c:bubbleSize>
            <c:numLit>
              <c:ptCount val="1"/>
              <c:pt idx="0">
                <c:v>1</c:v>
              </c:pt>
            </c:numLit>
          </c:bubbleSize>
        </c:ser>
        <c:ser>
          <c:idx val="39"/>
          <c:order val="39"/>
          <c:tx>
            <c:strRef>
              <c:f>'Product Price vs. Rating (Log S'!$A$43</c:f>
            </c:strRef>
          </c:tx>
          <c:dLbls>
            <c:dLblPos val="ctr"/>
            <c:showLegendKey val="0"/>
            <c:showVal val="0"/>
            <c:showCatName val="0"/>
            <c:showSerName val="1"/>
            <c:showPercent val="0"/>
            <c:showBubbleSize val="0"/>
          </c:dLbls>
          <c:xVal>
            <c:strRef>
              <c:f>'Product Price vs. Rating (Log S'!$B$43</c:f>
            </c:strRef>
          </c:xVal>
          <c:yVal>
            <c:numRef>
              <c:f>'Product Price vs. Rating (Log S'!$C$43</c:f>
              <c:numCache/>
            </c:numRef>
          </c:yVal>
          <c:bubbleSize>
            <c:numLit>
              <c:ptCount val="1"/>
              <c:pt idx="0">
                <c:v>1</c:v>
              </c:pt>
            </c:numLit>
          </c:bubbleSize>
        </c:ser>
        <c:ser>
          <c:idx val="40"/>
          <c:order val="40"/>
          <c:tx>
            <c:strRef>
              <c:f>'Product Price vs. Rating (Log S'!$A$44</c:f>
            </c:strRef>
          </c:tx>
          <c:dLbls>
            <c:dLblPos val="ctr"/>
            <c:showLegendKey val="0"/>
            <c:showVal val="0"/>
            <c:showCatName val="0"/>
            <c:showSerName val="1"/>
            <c:showPercent val="0"/>
            <c:showBubbleSize val="0"/>
          </c:dLbls>
          <c:xVal>
            <c:strRef>
              <c:f>'Product Price vs. Rating (Log S'!$B$44</c:f>
            </c:strRef>
          </c:xVal>
          <c:yVal>
            <c:numRef>
              <c:f>'Product Price vs. Rating (Log S'!$C$44</c:f>
              <c:numCache/>
            </c:numRef>
          </c:yVal>
          <c:bubbleSize>
            <c:numLit>
              <c:ptCount val="1"/>
              <c:pt idx="0">
                <c:v>1</c:v>
              </c:pt>
            </c:numLit>
          </c:bubbleSize>
        </c:ser>
        <c:ser>
          <c:idx val="41"/>
          <c:order val="41"/>
          <c:tx>
            <c:strRef>
              <c:f>'Product Price vs. Rating (Log S'!$A$45</c:f>
            </c:strRef>
          </c:tx>
          <c:dLbls>
            <c:dLblPos val="ctr"/>
            <c:showLegendKey val="0"/>
            <c:showVal val="0"/>
            <c:showCatName val="0"/>
            <c:showSerName val="1"/>
            <c:showPercent val="0"/>
            <c:showBubbleSize val="0"/>
          </c:dLbls>
          <c:xVal>
            <c:strRef>
              <c:f>'Product Price vs. Rating (Log S'!$B$45</c:f>
            </c:strRef>
          </c:xVal>
          <c:yVal>
            <c:numRef>
              <c:f>'Product Price vs. Rating (Log S'!$C$45</c:f>
              <c:numCache/>
            </c:numRef>
          </c:yVal>
          <c:bubbleSize>
            <c:numLit>
              <c:ptCount val="1"/>
              <c:pt idx="0">
                <c:v>1</c:v>
              </c:pt>
            </c:numLit>
          </c:bubbleSize>
        </c:ser>
        <c:ser>
          <c:idx val="42"/>
          <c:order val="42"/>
          <c:tx>
            <c:strRef>
              <c:f>'Product Price vs. Rating (Log S'!$A$46</c:f>
            </c:strRef>
          </c:tx>
          <c:dLbls>
            <c:dLblPos val="ctr"/>
            <c:showLegendKey val="0"/>
            <c:showVal val="0"/>
            <c:showCatName val="0"/>
            <c:showSerName val="1"/>
            <c:showPercent val="0"/>
            <c:showBubbleSize val="0"/>
          </c:dLbls>
          <c:xVal>
            <c:strRef>
              <c:f>'Product Price vs. Rating (Log S'!$B$46</c:f>
            </c:strRef>
          </c:xVal>
          <c:yVal>
            <c:numRef>
              <c:f>'Product Price vs. Rating (Log S'!$C$46</c:f>
              <c:numCache/>
            </c:numRef>
          </c:yVal>
          <c:bubbleSize>
            <c:numLit>
              <c:ptCount val="1"/>
              <c:pt idx="0">
                <c:v>1</c:v>
              </c:pt>
            </c:numLit>
          </c:bubbleSize>
        </c:ser>
        <c:ser>
          <c:idx val="43"/>
          <c:order val="43"/>
          <c:tx>
            <c:strRef>
              <c:f>'Product Price vs. Rating (Log S'!$A$47</c:f>
            </c:strRef>
          </c:tx>
          <c:dLbls>
            <c:dLblPos val="ctr"/>
            <c:showLegendKey val="0"/>
            <c:showVal val="0"/>
            <c:showCatName val="0"/>
            <c:showSerName val="1"/>
            <c:showPercent val="0"/>
            <c:showBubbleSize val="0"/>
          </c:dLbls>
          <c:xVal>
            <c:strRef>
              <c:f>'Product Price vs. Rating (Log S'!$B$47</c:f>
            </c:strRef>
          </c:xVal>
          <c:yVal>
            <c:numRef>
              <c:f>'Product Price vs. Rating (Log S'!$C$47</c:f>
              <c:numCache/>
            </c:numRef>
          </c:yVal>
          <c:bubbleSize>
            <c:numLit>
              <c:ptCount val="1"/>
              <c:pt idx="0">
                <c:v>1</c:v>
              </c:pt>
            </c:numLit>
          </c:bubbleSize>
        </c:ser>
        <c:ser>
          <c:idx val="44"/>
          <c:order val="44"/>
          <c:tx>
            <c:strRef>
              <c:f>'Product Price vs. Rating (Log S'!$A$48</c:f>
            </c:strRef>
          </c:tx>
          <c:dLbls>
            <c:dLblPos val="ctr"/>
            <c:showLegendKey val="0"/>
            <c:showVal val="0"/>
            <c:showCatName val="0"/>
            <c:showSerName val="1"/>
            <c:showPercent val="0"/>
            <c:showBubbleSize val="0"/>
          </c:dLbls>
          <c:xVal>
            <c:strRef>
              <c:f>'Product Price vs. Rating (Log S'!$B$48</c:f>
            </c:strRef>
          </c:xVal>
          <c:yVal>
            <c:numRef>
              <c:f>'Product Price vs. Rating (Log S'!$C$48</c:f>
              <c:numCache/>
            </c:numRef>
          </c:yVal>
          <c:bubbleSize>
            <c:numLit>
              <c:ptCount val="1"/>
              <c:pt idx="0">
                <c:v>1</c:v>
              </c:pt>
            </c:numLit>
          </c:bubbleSize>
        </c:ser>
        <c:ser>
          <c:idx val="45"/>
          <c:order val="45"/>
          <c:tx>
            <c:strRef>
              <c:f>'Product Price vs. Rating (Log S'!$A$49</c:f>
            </c:strRef>
          </c:tx>
          <c:dLbls>
            <c:dLblPos val="ctr"/>
            <c:showLegendKey val="0"/>
            <c:showVal val="0"/>
            <c:showCatName val="0"/>
            <c:showSerName val="1"/>
            <c:showPercent val="0"/>
            <c:showBubbleSize val="0"/>
          </c:dLbls>
          <c:xVal>
            <c:strRef>
              <c:f>'Product Price vs. Rating (Log S'!$B$49</c:f>
            </c:strRef>
          </c:xVal>
          <c:yVal>
            <c:numRef>
              <c:f>'Product Price vs. Rating (Log S'!$C$49</c:f>
              <c:numCache/>
            </c:numRef>
          </c:yVal>
          <c:bubbleSize>
            <c:numLit>
              <c:ptCount val="1"/>
              <c:pt idx="0">
                <c:v>1</c:v>
              </c:pt>
            </c:numLit>
          </c:bubbleSize>
        </c:ser>
        <c:ser>
          <c:idx val="46"/>
          <c:order val="46"/>
          <c:tx>
            <c:strRef>
              <c:f>'Product Price vs. Rating (Log S'!$A$50</c:f>
            </c:strRef>
          </c:tx>
          <c:dLbls>
            <c:dLblPos val="ctr"/>
            <c:showLegendKey val="0"/>
            <c:showVal val="0"/>
            <c:showCatName val="0"/>
            <c:showSerName val="1"/>
            <c:showPercent val="0"/>
            <c:showBubbleSize val="0"/>
          </c:dLbls>
          <c:xVal>
            <c:strRef>
              <c:f>'Product Price vs. Rating (Log S'!$B$50</c:f>
            </c:strRef>
          </c:xVal>
          <c:yVal>
            <c:numRef>
              <c:f>'Product Price vs. Rating (Log S'!$C$50</c:f>
              <c:numCache/>
            </c:numRef>
          </c:yVal>
          <c:bubbleSize>
            <c:numLit>
              <c:ptCount val="1"/>
              <c:pt idx="0">
                <c:v>1</c:v>
              </c:pt>
            </c:numLit>
          </c:bubbleSize>
        </c:ser>
        <c:ser>
          <c:idx val="47"/>
          <c:order val="47"/>
          <c:tx>
            <c:strRef>
              <c:f>'Product Price vs. Rating (Log S'!$A$51</c:f>
            </c:strRef>
          </c:tx>
          <c:dLbls>
            <c:dLblPos val="ctr"/>
            <c:showLegendKey val="0"/>
            <c:showVal val="0"/>
            <c:showCatName val="0"/>
            <c:showSerName val="1"/>
            <c:showPercent val="0"/>
            <c:showBubbleSize val="0"/>
          </c:dLbls>
          <c:xVal>
            <c:strRef>
              <c:f>'Product Price vs. Rating (Log S'!$B$51</c:f>
            </c:strRef>
          </c:xVal>
          <c:yVal>
            <c:numRef>
              <c:f>'Product Price vs. Rating (Log S'!$C$51</c:f>
              <c:numCache/>
            </c:numRef>
          </c:yVal>
          <c:bubbleSize>
            <c:numLit>
              <c:ptCount val="1"/>
              <c:pt idx="0">
                <c:v>1</c:v>
              </c:pt>
            </c:numLit>
          </c:bubbleSize>
        </c:ser>
        <c:ser>
          <c:idx val="48"/>
          <c:order val="48"/>
          <c:tx>
            <c:strRef>
              <c:f>'Product Price vs. Rating (Log S'!$A$52</c:f>
            </c:strRef>
          </c:tx>
          <c:dLbls>
            <c:dLblPos val="ctr"/>
            <c:showLegendKey val="0"/>
            <c:showVal val="0"/>
            <c:showCatName val="0"/>
            <c:showSerName val="1"/>
            <c:showPercent val="0"/>
            <c:showBubbleSize val="0"/>
          </c:dLbls>
          <c:xVal>
            <c:strRef>
              <c:f>'Product Price vs. Rating (Log S'!$B$52</c:f>
            </c:strRef>
          </c:xVal>
          <c:yVal>
            <c:numRef>
              <c:f>'Product Price vs. Rating (Log S'!$C$52</c:f>
              <c:numCache/>
            </c:numRef>
          </c:yVal>
          <c:bubbleSize>
            <c:numLit>
              <c:ptCount val="1"/>
              <c:pt idx="0">
                <c:v>1</c:v>
              </c:pt>
            </c:numLit>
          </c:bubbleSize>
        </c:ser>
        <c:ser>
          <c:idx val="49"/>
          <c:order val="49"/>
          <c:tx>
            <c:strRef>
              <c:f>'Product Price vs. Rating (Log S'!$A$53</c:f>
            </c:strRef>
          </c:tx>
          <c:dLbls>
            <c:dLblPos val="ctr"/>
            <c:showLegendKey val="0"/>
            <c:showVal val="0"/>
            <c:showCatName val="0"/>
            <c:showSerName val="1"/>
            <c:showPercent val="0"/>
            <c:showBubbleSize val="0"/>
          </c:dLbls>
          <c:xVal>
            <c:strRef>
              <c:f>'Product Price vs. Rating (Log S'!$B$53</c:f>
            </c:strRef>
          </c:xVal>
          <c:yVal>
            <c:numRef>
              <c:f>'Product Price vs. Rating (Log S'!$C$53</c:f>
              <c:numCache/>
            </c:numRef>
          </c:yVal>
          <c:bubbleSize>
            <c:numLit>
              <c:ptCount val="1"/>
              <c:pt idx="0">
                <c:v>1</c:v>
              </c:pt>
            </c:numLit>
          </c:bubbleSize>
        </c:ser>
        <c:ser>
          <c:idx val="50"/>
          <c:order val="50"/>
          <c:tx>
            <c:strRef>
              <c:f>'Product Price vs. Rating (Log S'!$A$54</c:f>
            </c:strRef>
          </c:tx>
          <c:dLbls>
            <c:dLblPos val="ctr"/>
            <c:showLegendKey val="0"/>
            <c:showVal val="0"/>
            <c:showCatName val="0"/>
            <c:showSerName val="1"/>
            <c:showPercent val="0"/>
            <c:showBubbleSize val="0"/>
          </c:dLbls>
          <c:xVal>
            <c:strRef>
              <c:f>'Product Price vs. Rating (Log S'!$B$54</c:f>
            </c:strRef>
          </c:xVal>
          <c:yVal>
            <c:numRef>
              <c:f>'Product Price vs. Rating (Log S'!$C$54</c:f>
              <c:numCache/>
            </c:numRef>
          </c:yVal>
          <c:bubbleSize>
            <c:numLit>
              <c:ptCount val="1"/>
              <c:pt idx="0">
                <c:v>1</c:v>
              </c:pt>
            </c:numLit>
          </c:bubbleSize>
        </c:ser>
        <c:ser>
          <c:idx val="51"/>
          <c:order val="51"/>
          <c:tx>
            <c:strRef>
              <c:f>'Product Price vs. Rating (Log S'!$A$55</c:f>
            </c:strRef>
          </c:tx>
          <c:dLbls>
            <c:dLblPos val="ctr"/>
            <c:showLegendKey val="0"/>
            <c:showVal val="0"/>
            <c:showCatName val="0"/>
            <c:showSerName val="1"/>
            <c:showPercent val="0"/>
            <c:showBubbleSize val="0"/>
          </c:dLbls>
          <c:xVal>
            <c:strRef>
              <c:f>'Product Price vs. Rating (Log S'!$B$55</c:f>
            </c:strRef>
          </c:xVal>
          <c:yVal>
            <c:numRef>
              <c:f>'Product Price vs. Rating (Log S'!$C$55</c:f>
              <c:numCache/>
            </c:numRef>
          </c:yVal>
          <c:bubbleSize>
            <c:numLit>
              <c:ptCount val="1"/>
              <c:pt idx="0">
                <c:v>1</c:v>
              </c:pt>
            </c:numLit>
          </c:bubbleSize>
        </c:ser>
        <c:ser>
          <c:idx val="52"/>
          <c:order val="52"/>
          <c:tx>
            <c:strRef>
              <c:f>'Product Price vs. Rating (Log S'!$A$56</c:f>
            </c:strRef>
          </c:tx>
          <c:dLbls>
            <c:dLblPos val="ctr"/>
            <c:showLegendKey val="0"/>
            <c:showVal val="0"/>
            <c:showCatName val="0"/>
            <c:showSerName val="1"/>
            <c:showPercent val="0"/>
            <c:showBubbleSize val="0"/>
          </c:dLbls>
          <c:xVal>
            <c:strRef>
              <c:f>'Product Price vs. Rating (Log S'!$B$56</c:f>
            </c:strRef>
          </c:xVal>
          <c:yVal>
            <c:numRef>
              <c:f>'Product Price vs. Rating (Log S'!$C$56</c:f>
              <c:numCache/>
            </c:numRef>
          </c:yVal>
          <c:bubbleSize>
            <c:numLit>
              <c:ptCount val="1"/>
              <c:pt idx="0">
                <c:v>1</c:v>
              </c:pt>
            </c:numLit>
          </c:bubbleSize>
        </c:ser>
        <c:ser>
          <c:idx val="53"/>
          <c:order val="53"/>
          <c:tx>
            <c:strRef>
              <c:f>'Product Price vs. Rating (Log S'!$A$57</c:f>
            </c:strRef>
          </c:tx>
          <c:dLbls>
            <c:dLblPos val="ctr"/>
            <c:showLegendKey val="0"/>
            <c:showVal val="0"/>
            <c:showCatName val="0"/>
            <c:showSerName val="1"/>
            <c:showPercent val="0"/>
            <c:showBubbleSize val="0"/>
          </c:dLbls>
          <c:xVal>
            <c:strRef>
              <c:f>'Product Price vs. Rating (Log S'!$B$57</c:f>
            </c:strRef>
          </c:xVal>
          <c:yVal>
            <c:numRef>
              <c:f>'Product Price vs. Rating (Log S'!$C$57</c:f>
              <c:numCache/>
            </c:numRef>
          </c:yVal>
          <c:bubbleSize>
            <c:numLit>
              <c:ptCount val="1"/>
              <c:pt idx="0">
                <c:v>1</c:v>
              </c:pt>
            </c:numLit>
          </c:bubbleSize>
        </c:ser>
        <c:ser>
          <c:idx val="54"/>
          <c:order val="54"/>
          <c:tx>
            <c:strRef>
              <c:f>'Product Price vs. Rating (Log S'!$A$58</c:f>
            </c:strRef>
          </c:tx>
          <c:dLbls>
            <c:dLblPos val="ctr"/>
            <c:showLegendKey val="0"/>
            <c:showVal val="0"/>
            <c:showCatName val="0"/>
            <c:showSerName val="1"/>
            <c:showPercent val="0"/>
            <c:showBubbleSize val="0"/>
          </c:dLbls>
          <c:xVal>
            <c:strRef>
              <c:f>'Product Price vs. Rating (Log S'!$B$58</c:f>
            </c:strRef>
          </c:xVal>
          <c:yVal>
            <c:numRef>
              <c:f>'Product Price vs. Rating (Log S'!$C$58</c:f>
              <c:numCache/>
            </c:numRef>
          </c:yVal>
          <c:bubbleSize>
            <c:numLit>
              <c:ptCount val="1"/>
              <c:pt idx="0">
                <c:v>1</c:v>
              </c:pt>
            </c:numLit>
          </c:bubbleSize>
        </c:ser>
        <c:ser>
          <c:idx val="55"/>
          <c:order val="55"/>
          <c:tx>
            <c:strRef>
              <c:f>'Product Price vs. Rating (Log S'!$A$59</c:f>
            </c:strRef>
          </c:tx>
          <c:dLbls>
            <c:dLblPos val="ctr"/>
            <c:showLegendKey val="0"/>
            <c:showVal val="0"/>
            <c:showCatName val="0"/>
            <c:showSerName val="1"/>
            <c:showPercent val="0"/>
            <c:showBubbleSize val="0"/>
          </c:dLbls>
          <c:xVal>
            <c:strRef>
              <c:f>'Product Price vs. Rating (Log S'!$B$59</c:f>
            </c:strRef>
          </c:xVal>
          <c:yVal>
            <c:numRef>
              <c:f>'Product Price vs. Rating (Log S'!$C$59</c:f>
              <c:numCache/>
            </c:numRef>
          </c:yVal>
          <c:bubbleSize>
            <c:numLit>
              <c:ptCount val="1"/>
              <c:pt idx="0">
                <c:v>1</c:v>
              </c:pt>
            </c:numLit>
          </c:bubbleSize>
        </c:ser>
        <c:ser>
          <c:idx val="56"/>
          <c:order val="56"/>
          <c:tx>
            <c:strRef>
              <c:f>'Product Price vs. Rating (Log S'!$A$60</c:f>
            </c:strRef>
          </c:tx>
          <c:dLbls>
            <c:dLblPos val="ctr"/>
            <c:showLegendKey val="0"/>
            <c:showVal val="0"/>
            <c:showCatName val="0"/>
            <c:showSerName val="1"/>
            <c:showPercent val="0"/>
            <c:showBubbleSize val="0"/>
          </c:dLbls>
          <c:xVal>
            <c:strRef>
              <c:f>'Product Price vs. Rating (Log S'!$B$60</c:f>
            </c:strRef>
          </c:xVal>
          <c:yVal>
            <c:numRef>
              <c:f>'Product Price vs. Rating (Log S'!$C$60</c:f>
              <c:numCache/>
            </c:numRef>
          </c:yVal>
          <c:bubbleSize>
            <c:numLit>
              <c:ptCount val="1"/>
              <c:pt idx="0">
                <c:v>1</c:v>
              </c:pt>
            </c:numLit>
          </c:bubbleSize>
        </c:ser>
        <c:ser>
          <c:idx val="57"/>
          <c:order val="57"/>
          <c:tx>
            <c:strRef>
              <c:f>'Product Price vs. Rating (Log S'!$A$61</c:f>
            </c:strRef>
          </c:tx>
          <c:dLbls>
            <c:dLblPos val="ctr"/>
            <c:showLegendKey val="0"/>
            <c:showVal val="0"/>
            <c:showCatName val="0"/>
            <c:showSerName val="1"/>
            <c:showPercent val="0"/>
            <c:showBubbleSize val="0"/>
          </c:dLbls>
          <c:xVal>
            <c:strRef>
              <c:f>'Product Price vs. Rating (Log S'!$B$61</c:f>
            </c:strRef>
          </c:xVal>
          <c:yVal>
            <c:numRef>
              <c:f>'Product Price vs. Rating (Log S'!$C$61</c:f>
              <c:numCache/>
            </c:numRef>
          </c:yVal>
          <c:bubbleSize>
            <c:numLit>
              <c:ptCount val="1"/>
              <c:pt idx="0">
                <c:v>1</c:v>
              </c:pt>
            </c:numLit>
          </c:bubbleSize>
        </c:ser>
        <c:ser>
          <c:idx val="58"/>
          <c:order val="58"/>
          <c:tx>
            <c:strRef>
              <c:f>'Product Price vs. Rating (Log S'!$A$62</c:f>
            </c:strRef>
          </c:tx>
          <c:dLbls>
            <c:dLblPos val="ctr"/>
            <c:showLegendKey val="0"/>
            <c:showVal val="0"/>
            <c:showCatName val="0"/>
            <c:showSerName val="1"/>
            <c:showPercent val="0"/>
            <c:showBubbleSize val="0"/>
          </c:dLbls>
          <c:xVal>
            <c:strRef>
              <c:f>'Product Price vs. Rating (Log S'!$B$62</c:f>
            </c:strRef>
          </c:xVal>
          <c:yVal>
            <c:numRef>
              <c:f>'Product Price vs. Rating (Log S'!$C$62</c:f>
              <c:numCache/>
            </c:numRef>
          </c:yVal>
          <c:bubbleSize>
            <c:numLit>
              <c:ptCount val="1"/>
              <c:pt idx="0">
                <c:v>1</c:v>
              </c:pt>
            </c:numLit>
          </c:bubbleSize>
        </c:ser>
        <c:ser>
          <c:idx val="59"/>
          <c:order val="59"/>
          <c:tx>
            <c:strRef>
              <c:f>'Product Price vs. Rating (Log S'!$A$63</c:f>
            </c:strRef>
          </c:tx>
          <c:dLbls>
            <c:dLblPos val="ctr"/>
            <c:showLegendKey val="0"/>
            <c:showVal val="0"/>
            <c:showCatName val="0"/>
            <c:showSerName val="1"/>
            <c:showPercent val="0"/>
            <c:showBubbleSize val="0"/>
          </c:dLbls>
          <c:xVal>
            <c:strRef>
              <c:f>'Product Price vs. Rating (Log S'!$B$63</c:f>
            </c:strRef>
          </c:xVal>
          <c:yVal>
            <c:numRef>
              <c:f>'Product Price vs. Rating (Log S'!$C$63</c:f>
              <c:numCache/>
            </c:numRef>
          </c:yVal>
          <c:bubbleSize>
            <c:numLit>
              <c:ptCount val="1"/>
              <c:pt idx="0">
                <c:v>1</c:v>
              </c:pt>
            </c:numLit>
          </c:bubbleSize>
        </c:ser>
        <c:ser>
          <c:idx val="60"/>
          <c:order val="60"/>
          <c:tx>
            <c:strRef>
              <c:f>'Product Price vs. Rating (Log S'!$A$64</c:f>
            </c:strRef>
          </c:tx>
          <c:dLbls>
            <c:dLblPos val="ctr"/>
            <c:showLegendKey val="0"/>
            <c:showVal val="0"/>
            <c:showCatName val="0"/>
            <c:showSerName val="1"/>
            <c:showPercent val="0"/>
            <c:showBubbleSize val="0"/>
          </c:dLbls>
          <c:xVal>
            <c:strRef>
              <c:f>'Product Price vs. Rating (Log S'!$B$64</c:f>
            </c:strRef>
          </c:xVal>
          <c:yVal>
            <c:numRef>
              <c:f>'Product Price vs. Rating (Log S'!$C$64</c:f>
              <c:numCache/>
            </c:numRef>
          </c:yVal>
          <c:bubbleSize>
            <c:numLit>
              <c:ptCount val="1"/>
              <c:pt idx="0">
                <c:v>1</c:v>
              </c:pt>
            </c:numLit>
          </c:bubbleSize>
        </c:ser>
        <c:ser>
          <c:idx val="61"/>
          <c:order val="61"/>
          <c:tx>
            <c:strRef>
              <c:f>'Product Price vs. Rating (Log S'!$A$65</c:f>
            </c:strRef>
          </c:tx>
          <c:dLbls>
            <c:dLblPos val="ctr"/>
            <c:showLegendKey val="0"/>
            <c:showVal val="0"/>
            <c:showCatName val="0"/>
            <c:showSerName val="1"/>
            <c:showPercent val="0"/>
            <c:showBubbleSize val="0"/>
          </c:dLbls>
          <c:xVal>
            <c:strRef>
              <c:f>'Product Price vs. Rating (Log S'!$B$65</c:f>
            </c:strRef>
          </c:xVal>
          <c:yVal>
            <c:numRef>
              <c:f>'Product Price vs. Rating (Log S'!$C$65</c:f>
              <c:numCache/>
            </c:numRef>
          </c:yVal>
          <c:bubbleSize>
            <c:numLit>
              <c:ptCount val="1"/>
              <c:pt idx="0">
                <c:v>1</c:v>
              </c:pt>
            </c:numLit>
          </c:bubbleSize>
        </c:ser>
        <c:ser>
          <c:idx val="62"/>
          <c:order val="62"/>
          <c:tx>
            <c:strRef>
              <c:f>'Product Price vs. Rating (Log S'!$A$66</c:f>
            </c:strRef>
          </c:tx>
          <c:dLbls>
            <c:dLblPos val="ctr"/>
            <c:showLegendKey val="0"/>
            <c:showVal val="0"/>
            <c:showCatName val="0"/>
            <c:showSerName val="1"/>
            <c:showPercent val="0"/>
            <c:showBubbleSize val="0"/>
          </c:dLbls>
          <c:xVal>
            <c:strRef>
              <c:f>'Product Price vs. Rating (Log S'!$B$66</c:f>
            </c:strRef>
          </c:xVal>
          <c:yVal>
            <c:numRef>
              <c:f>'Product Price vs. Rating (Log S'!$C$66</c:f>
              <c:numCache/>
            </c:numRef>
          </c:yVal>
          <c:bubbleSize>
            <c:numLit>
              <c:ptCount val="1"/>
              <c:pt idx="0">
                <c:v>1</c:v>
              </c:pt>
            </c:numLit>
          </c:bubbleSize>
        </c:ser>
        <c:ser>
          <c:idx val="63"/>
          <c:order val="63"/>
          <c:tx>
            <c:strRef>
              <c:f>'Product Price vs. Rating (Log S'!$A$67</c:f>
            </c:strRef>
          </c:tx>
          <c:dLbls>
            <c:dLblPos val="ctr"/>
            <c:showLegendKey val="0"/>
            <c:showVal val="0"/>
            <c:showCatName val="0"/>
            <c:showSerName val="1"/>
            <c:showPercent val="0"/>
            <c:showBubbleSize val="0"/>
          </c:dLbls>
          <c:xVal>
            <c:strRef>
              <c:f>'Product Price vs. Rating (Log S'!$B$67</c:f>
            </c:strRef>
          </c:xVal>
          <c:yVal>
            <c:numRef>
              <c:f>'Product Price vs. Rating (Log S'!$C$67</c:f>
              <c:numCache/>
            </c:numRef>
          </c:yVal>
          <c:bubbleSize>
            <c:numLit>
              <c:ptCount val="1"/>
              <c:pt idx="0">
                <c:v>1</c:v>
              </c:pt>
            </c:numLit>
          </c:bubbleSize>
        </c:ser>
        <c:ser>
          <c:idx val="64"/>
          <c:order val="64"/>
          <c:tx>
            <c:strRef>
              <c:f>'Product Price vs. Rating (Log S'!$A$68</c:f>
            </c:strRef>
          </c:tx>
          <c:dLbls>
            <c:dLblPos val="ctr"/>
            <c:showLegendKey val="0"/>
            <c:showVal val="0"/>
            <c:showCatName val="0"/>
            <c:showSerName val="1"/>
            <c:showPercent val="0"/>
            <c:showBubbleSize val="0"/>
          </c:dLbls>
          <c:xVal>
            <c:strRef>
              <c:f>'Product Price vs. Rating (Log S'!$B$68</c:f>
            </c:strRef>
          </c:xVal>
          <c:yVal>
            <c:numRef>
              <c:f>'Product Price vs. Rating (Log S'!$C$68</c:f>
              <c:numCache/>
            </c:numRef>
          </c:yVal>
          <c:bubbleSize>
            <c:numLit>
              <c:ptCount val="1"/>
              <c:pt idx="0">
                <c:v>1</c:v>
              </c:pt>
            </c:numLit>
          </c:bubbleSize>
        </c:ser>
        <c:ser>
          <c:idx val="65"/>
          <c:order val="65"/>
          <c:tx>
            <c:strRef>
              <c:f>'Product Price vs. Rating (Log S'!$A$69</c:f>
            </c:strRef>
          </c:tx>
          <c:dLbls>
            <c:dLblPos val="ctr"/>
            <c:showLegendKey val="0"/>
            <c:showVal val="0"/>
            <c:showCatName val="0"/>
            <c:showSerName val="1"/>
            <c:showPercent val="0"/>
            <c:showBubbleSize val="0"/>
          </c:dLbls>
          <c:xVal>
            <c:strRef>
              <c:f>'Product Price vs. Rating (Log S'!$B$69</c:f>
            </c:strRef>
          </c:xVal>
          <c:yVal>
            <c:numRef>
              <c:f>'Product Price vs. Rating (Log S'!$C$69</c:f>
              <c:numCache/>
            </c:numRef>
          </c:yVal>
          <c:bubbleSize>
            <c:numLit>
              <c:ptCount val="1"/>
              <c:pt idx="0">
                <c:v>1</c:v>
              </c:pt>
            </c:numLit>
          </c:bubbleSize>
        </c:ser>
        <c:ser>
          <c:idx val="66"/>
          <c:order val="66"/>
          <c:tx>
            <c:strRef>
              <c:f>'Product Price vs. Rating (Log S'!$A$70</c:f>
            </c:strRef>
          </c:tx>
          <c:dLbls>
            <c:dLblPos val="ctr"/>
            <c:showLegendKey val="0"/>
            <c:showVal val="0"/>
            <c:showCatName val="0"/>
            <c:showSerName val="1"/>
            <c:showPercent val="0"/>
            <c:showBubbleSize val="0"/>
          </c:dLbls>
          <c:xVal>
            <c:strRef>
              <c:f>'Product Price vs. Rating (Log S'!$B$70</c:f>
            </c:strRef>
          </c:xVal>
          <c:yVal>
            <c:numRef>
              <c:f>'Product Price vs. Rating (Log S'!$C$70</c:f>
              <c:numCache/>
            </c:numRef>
          </c:yVal>
          <c:bubbleSize>
            <c:numLit>
              <c:ptCount val="1"/>
              <c:pt idx="0">
                <c:v>1</c:v>
              </c:pt>
            </c:numLit>
          </c:bubbleSize>
        </c:ser>
        <c:ser>
          <c:idx val="67"/>
          <c:order val="67"/>
          <c:tx>
            <c:strRef>
              <c:f>'Product Price vs. Rating (Log S'!$A$71</c:f>
            </c:strRef>
          </c:tx>
          <c:dLbls>
            <c:dLblPos val="ctr"/>
            <c:showLegendKey val="0"/>
            <c:showVal val="0"/>
            <c:showCatName val="0"/>
            <c:showSerName val="1"/>
            <c:showPercent val="0"/>
            <c:showBubbleSize val="0"/>
          </c:dLbls>
          <c:xVal>
            <c:strRef>
              <c:f>'Product Price vs. Rating (Log S'!$B$71</c:f>
            </c:strRef>
          </c:xVal>
          <c:yVal>
            <c:numRef>
              <c:f>'Product Price vs. Rating (Log S'!$C$71</c:f>
              <c:numCache/>
            </c:numRef>
          </c:yVal>
          <c:bubbleSize>
            <c:numLit>
              <c:ptCount val="1"/>
              <c:pt idx="0">
                <c:v>1</c:v>
              </c:pt>
            </c:numLit>
          </c:bubbleSize>
        </c:ser>
        <c:ser>
          <c:idx val="68"/>
          <c:order val="68"/>
          <c:tx>
            <c:strRef>
              <c:f>'Product Price vs. Rating (Log S'!$A$72</c:f>
            </c:strRef>
          </c:tx>
          <c:dLbls>
            <c:dLblPos val="ctr"/>
            <c:showLegendKey val="0"/>
            <c:showVal val="0"/>
            <c:showCatName val="0"/>
            <c:showSerName val="1"/>
            <c:showPercent val="0"/>
            <c:showBubbleSize val="0"/>
          </c:dLbls>
          <c:xVal>
            <c:strRef>
              <c:f>'Product Price vs. Rating (Log S'!$B$72</c:f>
            </c:strRef>
          </c:xVal>
          <c:yVal>
            <c:numRef>
              <c:f>'Product Price vs. Rating (Log S'!$C$72</c:f>
              <c:numCache/>
            </c:numRef>
          </c:yVal>
          <c:bubbleSize>
            <c:numLit>
              <c:ptCount val="1"/>
              <c:pt idx="0">
                <c:v>1</c:v>
              </c:pt>
            </c:numLit>
          </c:bubbleSize>
        </c:ser>
        <c:ser>
          <c:idx val="69"/>
          <c:order val="69"/>
          <c:tx>
            <c:strRef>
              <c:f>'Product Price vs. Rating (Log S'!$A$73</c:f>
            </c:strRef>
          </c:tx>
          <c:dLbls>
            <c:dLblPos val="ctr"/>
            <c:showLegendKey val="0"/>
            <c:showVal val="0"/>
            <c:showCatName val="0"/>
            <c:showSerName val="1"/>
            <c:showPercent val="0"/>
            <c:showBubbleSize val="0"/>
          </c:dLbls>
          <c:xVal>
            <c:strRef>
              <c:f>'Product Price vs. Rating (Log S'!$B$73</c:f>
            </c:strRef>
          </c:xVal>
          <c:yVal>
            <c:numRef>
              <c:f>'Product Price vs. Rating (Log S'!$C$73</c:f>
              <c:numCache/>
            </c:numRef>
          </c:yVal>
          <c:bubbleSize>
            <c:numLit>
              <c:ptCount val="1"/>
              <c:pt idx="0">
                <c:v>1</c:v>
              </c:pt>
            </c:numLit>
          </c:bubbleSize>
        </c:ser>
        <c:ser>
          <c:idx val="70"/>
          <c:order val="70"/>
          <c:tx>
            <c:strRef>
              <c:f>'Product Price vs. Rating (Log S'!$A$74</c:f>
            </c:strRef>
          </c:tx>
          <c:dLbls>
            <c:dLblPos val="ctr"/>
            <c:showLegendKey val="0"/>
            <c:showVal val="0"/>
            <c:showCatName val="0"/>
            <c:showSerName val="1"/>
            <c:showPercent val="0"/>
            <c:showBubbleSize val="0"/>
          </c:dLbls>
          <c:xVal>
            <c:strRef>
              <c:f>'Product Price vs. Rating (Log S'!$B$74</c:f>
            </c:strRef>
          </c:xVal>
          <c:yVal>
            <c:numRef>
              <c:f>'Product Price vs. Rating (Log S'!$C$74</c:f>
              <c:numCache/>
            </c:numRef>
          </c:yVal>
          <c:bubbleSize>
            <c:numLit>
              <c:ptCount val="1"/>
              <c:pt idx="0">
                <c:v>1</c:v>
              </c:pt>
            </c:numLit>
          </c:bubbleSize>
        </c:ser>
        <c:ser>
          <c:idx val="71"/>
          <c:order val="71"/>
          <c:tx>
            <c:strRef>
              <c:f>'Product Price vs. Rating (Log S'!$A$75</c:f>
            </c:strRef>
          </c:tx>
          <c:dLbls>
            <c:dLblPos val="ctr"/>
            <c:showLegendKey val="0"/>
            <c:showVal val="0"/>
            <c:showCatName val="0"/>
            <c:showSerName val="1"/>
            <c:showPercent val="0"/>
            <c:showBubbleSize val="0"/>
          </c:dLbls>
          <c:xVal>
            <c:strRef>
              <c:f>'Product Price vs. Rating (Log S'!$B$75</c:f>
            </c:strRef>
          </c:xVal>
          <c:yVal>
            <c:numRef>
              <c:f>'Product Price vs. Rating (Log S'!$C$75</c:f>
              <c:numCache/>
            </c:numRef>
          </c:yVal>
          <c:bubbleSize>
            <c:numLit>
              <c:ptCount val="1"/>
              <c:pt idx="0">
                <c:v>1</c:v>
              </c:pt>
            </c:numLit>
          </c:bubbleSize>
        </c:ser>
        <c:ser>
          <c:idx val="72"/>
          <c:order val="72"/>
          <c:tx>
            <c:strRef>
              <c:f>'Product Price vs. Rating (Log S'!$A$76</c:f>
            </c:strRef>
          </c:tx>
          <c:dLbls>
            <c:dLblPos val="ctr"/>
            <c:showLegendKey val="0"/>
            <c:showVal val="0"/>
            <c:showCatName val="0"/>
            <c:showSerName val="1"/>
            <c:showPercent val="0"/>
            <c:showBubbleSize val="0"/>
          </c:dLbls>
          <c:xVal>
            <c:strRef>
              <c:f>'Product Price vs. Rating (Log S'!$B$76</c:f>
            </c:strRef>
          </c:xVal>
          <c:yVal>
            <c:numRef>
              <c:f>'Product Price vs. Rating (Log S'!$C$76</c:f>
              <c:numCache/>
            </c:numRef>
          </c:yVal>
          <c:bubbleSize>
            <c:numLit>
              <c:ptCount val="1"/>
              <c:pt idx="0">
                <c:v>1</c:v>
              </c:pt>
            </c:numLit>
          </c:bubbleSize>
        </c:ser>
        <c:ser>
          <c:idx val="73"/>
          <c:order val="73"/>
          <c:tx>
            <c:strRef>
              <c:f>'Product Price vs. Rating (Log S'!$A$77</c:f>
            </c:strRef>
          </c:tx>
          <c:dLbls>
            <c:dLblPos val="ctr"/>
            <c:showLegendKey val="0"/>
            <c:showVal val="0"/>
            <c:showCatName val="0"/>
            <c:showSerName val="1"/>
            <c:showPercent val="0"/>
            <c:showBubbleSize val="0"/>
          </c:dLbls>
          <c:xVal>
            <c:strRef>
              <c:f>'Product Price vs. Rating (Log S'!$B$77</c:f>
            </c:strRef>
          </c:xVal>
          <c:yVal>
            <c:numRef>
              <c:f>'Product Price vs. Rating (Log S'!$C$77</c:f>
              <c:numCache/>
            </c:numRef>
          </c:yVal>
          <c:bubbleSize>
            <c:numLit>
              <c:ptCount val="1"/>
              <c:pt idx="0">
                <c:v>1</c:v>
              </c:pt>
            </c:numLit>
          </c:bubbleSize>
        </c:ser>
        <c:ser>
          <c:idx val="74"/>
          <c:order val="74"/>
          <c:tx>
            <c:strRef>
              <c:f>'Product Price vs. Rating (Log S'!$A$78</c:f>
            </c:strRef>
          </c:tx>
          <c:dLbls>
            <c:dLblPos val="ctr"/>
            <c:showLegendKey val="0"/>
            <c:showVal val="0"/>
            <c:showCatName val="0"/>
            <c:showSerName val="1"/>
            <c:showPercent val="0"/>
            <c:showBubbleSize val="0"/>
          </c:dLbls>
          <c:xVal>
            <c:strRef>
              <c:f>'Product Price vs. Rating (Log S'!$B$78</c:f>
            </c:strRef>
          </c:xVal>
          <c:yVal>
            <c:numRef>
              <c:f>'Product Price vs. Rating (Log S'!$C$78</c:f>
              <c:numCache/>
            </c:numRef>
          </c:yVal>
          <c:bubbleSize>
            <c:numLit>
              <c:ptCount val="1"/>
              <c:pt idx="0">
                <c:v>1</c:v>
              </c:pt>
            </c:numLit>
          </c:bubbleSize>
        </c:ser>
        <c:ser>
          <c:idx val="75"/>
          <c:order val="75"/>
          <c:tx>
            <c:strRef>
              <c:f>'Product Price vs. Rating (Log S'!$A$79</c:f>
            </c:strRef>
          </c:tx>
          <c:dLbls>
            <c:dLblPos val="ctr"/>
            <c:showLegendKey val="0"/>
            <c:showVal val="0"/>
            <c:showCatName val="0"/>
            <c:showSerName val="1"/>
            <c:showPercent val="0"/>
            <c:showBubbleSize val="0"/>
          </c:dLbls>
          <c:xVal>
            <c:strRef>
              <c:f>'Product Price vs. Rating (Log S'!$B$79</c:f>
            </c:strRef>
          </c:xVal>
          <c:yVal>
            <c:numRef>
              <c:f>'Product Price vs. Rating (Log S'!$C$79</c:f>
              <c:numCache/>
            </c:numRef>
          </c:yVal>
          <c:bubbleSize>
            <c:numLit>
              <c:ptCount val="1"/>
              <c:pt idx="0">
                <c:v>1</c:v>
              </c:pt>
            </c:numLit>
          </c:bubbleSize>
        </c:ser>
        <c:ser>
          <c:idx val="76"/>
          <c:order val="76"/>
          <c:tx>
            <c:strRef>
              <c:f>'Product Price vs. Rating (Log S'!$A$80</c:f>
            </c:strRef>
          </c:tx>
          <c:dLbls>
            <c:dLblPos val="ctr"/>
            <c:showLegendKey val="0"/>
            <c:showVal val="0"/>
            <c:showCatName val="0"/>
            <c:showSerName val="1"/>
            <c:showPercent val="0"/>
            <c:showBubbleSize val="0"/>
          </c:dLbls>
          <c:xVal>
            <c:strRef>
              <c:f>'Product Price vs. Rating (Log S'!$B$80</c:f>
            </c:strRef>
          </c:xVal>
          <c:yVal>
            <c:numRef>
              <c:f>'Product Price vs. Rating (Log S'!$C$80</c:f>
              <c:numCache/>
            </c:numRef>
          </c:yVal>
          <c:bubbleSize>
            <c:numLit>
              <c:ptCount val="1"/>
              <c:pt idx="0">
                <c:v>1</c:v>
              </c:pt>
            </c:numLit>
          </c:bubbleSize>
        </c:ser>
        <c:ser>
          <c:idx val="77"/>
          <c:order val="77"/>
          <c:tx>
            <c:strRef>
              <c:f>'Product Price vs. Rating (Log S'!$A$81</c:f>
            </c:strRef>
          </c:tx>
          <c:dLbls>
            <c:dLblPos val="ctr"/>
            <c:showLegendKey val="0"/>
            <c:showVal val="0"/>
            <c:showCatName val="0"/>
            <c:showSerName val="1"/>
            <c:showPercent val="0"/>
            <c:showBubbleSize val="0"/>
          </c:dLbls>
          <c:xVal>
            <c:strRef>
              <c:f>'Product Price vs. Rating (Log S'!$B$81</c:f>
            </c:strRef>
          </c:xVal>
          <c:yVal>
            <c:numRef>
              <c:f>'Product Price vs. Rating (Log S'!$C$81</c:f>
              <c:numCache/>
            </c:numRef>
          </c:yVal>
          <c:bubbleSize>
            <c:numLit>
              <c:ptCount val="1"/>
              <c:pt idx="0">
                <c:v>1</c:v>
              </c:pt>
            </c:numLit>
          </c:bubbleSize>
        </c:ser>
        <c:ser>
          <c:idx val="78"/>
          <c:order val="78"/>
          <c:tx>
            <c:strRef>
              <c:f>'Product Price vs. Rating (Log S'!$A$82</c:f>
            </c:strRef>
          </c:tx>
          <c:dLbls>
            <c:dLblPos val="ctr"/>
            <c:showLegendKey val="0"/>
            <c:showVal val="0"/>
            <c:showCatName val="0"/>
            <c:showSerName val="1"/>
            <c:showPercent val="0"/>
            <c:showBubbleSize val="0"/>
          </c:dLbls>
          <c:xVal>
            <c:strRef>
              <c:f>'Product Price vs. Rating (Log S'!$B$82</c:f>
            </c:strRef>
          </c:xVal>
          <c:yVal>
            <c:numRef>
              <c:f>'Product Price vs. Rating (Log S'!$C$82</c:f>
              <c:numCache/>
            </c:numRef>
          </c:yVal>
          <c:bubbleSize>
            <c:numLit>
              <c:ptCount val="1"/>
              <c:pt idx="0">
                <c:v>1</c:v>
              </c:pt>
            </c:numLit>
          </c:bubbleSize>
        </c:ser>
        <c:ser>
          <c:idx val="79"/>
          <c:order val="79"/>
          <c:tx>
            <c:strRef>
              <c:f>'Product Price vs. Rating (Log S'!$A$83</c:f>
            </c:strRef>
          </c:tx>
          <c:dLbls>
            <c:dLblPos val="ctr"/>
            <c:showLegendKey val="0"/>
            <c:showVal val="0"/>
            <c:showCatName val="0"/>
            <c:showSerName val="1"/>
            <c:showPercent val="0"/>
            <c:showBubbleSize val="0"/>
          </c:dLbls>
          <c:xVal>
            <c:strRef>
              <c:f>'Product Price vs. Rating (Log S'!$B$83</c:f>
            </c:strRef>
          </c:xVal>
          <c:yVal>
            <c:numRef>
              <c:f>'Product Price vs. Rating (Log S'!$C$83</c:f>
              <c:numCache/>
            </c:numRef>
          </c:yVal>
          <c:bubbleSize>
            <c:numLit>
              <c:ptCount val="1"/>
              <c:pt idx="0">
                <c:v>1</c:v>
              </c:pt>
            </c:numLit>
          </c:bubbleSize>
        </c:ser>
        <c:ser>
          <c:idx val="80"/>
          <c:order val="80"/>
          <c:tx>
            <c:strRef>
              <c:f>'Product Price vs. Rating (Log S'!$A$84</c:f>
            </c:strRef>
          </c:tx>
          <c:dLbls>
            <c:dLblPos val="ctr"/>
            <c:showLegendKey val="0"/>
            <c:showVal val="0"/>
            <c:showCatName val="0"/>
            <c:showSerName val="1"/>
            <c:showPercent val="0"/>
            <c:showBubbleSize val="0"/>
          </c:dLbls>
          <c:xVal>
            <c:strRef>
              <c:f>'Product Price vs. Rating (Log S'!$B$84</c:f>
            </c:strRef>
          </c:xVal>
          <c:yVal>
            <c:numRef>
              <c:f>'Product Price vs. Rating (Log S'!$C$84</c:f>
              <c:numCache/>
            </c:numRef>
          </c:yVal>
          <c:bubbleSize>
            <c:numLit>
              <c:ptCount val="1"/>
              <c:pt idx="0">
                <c:v>1</c:v>
              </c:pt>
            </c:numLit>
          </c:bubbleSize>
        </c:ser>
        <c:ser>
          <c:idx val="81"/>
          <c:order val="81"/>
          <c:tx>
            <c:strRef>
              <c:f>'Product Price vs. Rating (Log S'!$A$85</c:f>
            </c:strRef>
          </c:tx>
          <c:dLbls>
            <c:dLblPos val="ctr"/>
            <c:showLegendKey val="0"/>
            <c:showVal val="0"/>
            <c:showCatName val="0"/>
            <c:showSerName val="1"/>
            <c:showPercent val="0"/>
            <c:showBubbleSize val="0"/>
          </c:dLbls>
          <c:xVal>
            <c:strRef>
              <c:f>'Product Price vs. Rating (Log S'!$B$85</c:f>
            </c:strRef>
          </c:xVal>
          <c:yVal>
            <c:numRef>
              <c:f>'Product Price vs. Rating (Log S'!$C$85</c:f>
              <c:numCache/>
            </c:numRef>
          </c:yVal>
          <c:bubbleSize>
            <c:numLit>
              <c:ptCount val="1"/>
              <c:pt idx="0">
                <c:v>1</c:v>
              </c:pt>
            </c:numLit>
          </c:bubbleSize>
        </c:ser>
        <c:ser>
          <c:idx val="82"/>
          <c:order val="82"/>
          <c:tx>
            <c:strRef>
              <c:f>'Product Price vs. Rating (Log S'!$A$86</c:f>
            </c:strRef>
          </c:tx>
          <c:dLbls>
            <c:dLblPos val="ctr"/>
            <c:showLegendKey val="0"/>
            <c:showVal val="0"/>
            <c:showCatName val="0"/>
            <c:showSerName val="1"/>
            <c:showPercent val="0"/>
            <c:showBubbleSize val="0"/>
          </c:dLbls>
          <c:xVal>
            <c:strRef>
              <c:f>'Product Price vs. Rating (Log S'!$B$86</c:f>
            </c:strRef>
          </c:xVal>
          <c:yVal>
            <c:numRef>
              <c:f>'Product Price vs. Rating (Log S'!$C$86</c:f>
              <c:numCache/>
            </c:numRef>
          </c:yVal>
          <c:bubbleSize>
            <c:numLit>
              <c:ptCount val="1"/>
              <c:pt idx="0">
                <c:v>1</c:v>
              </c:pt>
            </c:numLit>
          </c:bubbleSize>
        </c:ser>
        <c:ser>
          <c:idx val="83"/>
          <c:order val="83"/>
          <c:tx>
            <c:strRef>
              <c:f>'Product Price vs. Rating (Log S'!$A$87</c:f>
            </c:strRef>
          </c:tx>
          <c:dLbls>
            <c:dLblPos val="ctr"/>
            <c:showLegendKey val="0"/>
            <c:showVal val="0"/>
            <c:showCatName val="0"/>
            <c:showSerName val="1"/>
            <c:showPercent val="0"/>
            <c:showBubbleSize val="0"/>
          </c:dLbls>
          <c:xVal>
            <c:strRef>
              <c:f>'Product Price vs. Rating (Log S'!$B$87</c:f>
            </c:strRef>
          </c:xVal>
          <c:yVal>
            <c:numRef>
              <c:f>'Product Price vs. Rating (Log S'!$C$87</c:f>
              <c:numCache/>
            </c:numRef>
          </c:yVal>
          <c:bubbleSize>
            <c:numLit>
              <c:ptCount val="1"/>
              <c:pt idx="0">
                <c:v>1</c:v>
              </c:pt>
            </c:numLit>
          </c:bubbleSize>
        </c:ser>
        <c:ser>
          <c:idx val="84"/>
          <c:order val="84"/>
          <c:tx>
            <c:strRef>
              <c:f>'Product Price vs. Rating (Log S'!$A$88</c:f>
            </c:strRef>
          </c:tx>
          <c:dLbls>
            <c:dLblPos val="ctr"/>
            <c:showLegendKey val="0"/>
            <c:showVal val="0"/>
            <c:showCatName val="0"/>
            <c:showSerName val="1"/>
            <c:showPercent val="0"/>
            <c:showBubbleSize val="0"/>
          </c:dLbls>
          <c:xVal>
            <c:strRef>
              <c:f>'Product Price vs. Rating (Log S'!$B$88</c:f>
            </c:strRef>
          </c:xVal>
          <c:yVal>
            <c:numRef>
              <c:f>'Product Price vs. Rating (Log S'!$C$88</c:f>
              <c:numCache/>
            </c:numRef>
          </c:yVal>
          <c:bubbleSize>
            <c:numLit>
              <c:ptCount val="1"/>
              <c:pt idx="0">
                <c:v>1</c:v>
              </c:pt>
            </c:numLit>
          </c:bubbleSize>
        </c:ser>
        <c:ser>
          <c:idx val="85"/>
          <c:order val="85"/>
          <c:tx>
            <c:strRef>
              <c:f>'Product Price vs. Rating (Log S'!$A$89</c:f>
            </c:strRef>
          </c:tx>
          <c:dLbls>
            <c:dLblPos val="ctr"/>
            <c:showLegendKey val="0"/>
            <c:showVal val="0"/>
            <c:showCatName val="0"/>
            <c:showSerName val="1"/>
            <c:showPercent val="0"/>
            <c:showBubbleSize val="0"/>
          </c:dLbls>
          <c:xVal>
            <c:strRef>
              <c:f>'Product Price vs. Rating (Log S'!$B$89</c:f>
            </c:strRef>
          </c:xVal>
          <c:yVal>
            <c:numRef>
              <c:f>'Product Price vs. Rating (Log S'!$C$89</c:f>
              <c:numCache/>
            </c:numRef>
          </c:yVal>
          <c:bubbleSize>
            <c:numLit>
              <c:ptCount val="1"/>
              <c:pt idx="0">
                <c:v>1</c:v>
              </c:pt>
            </c:numLit>
          </c:bubbleSize>
        </c:ser>
        <c:ser>
          <c:idx val="86"/>
          <c:order val="86"/>
          <c:tx>
            <c:strRef>
              <c:f>'Product Price vs. Rating (Log S'!$A$90</c:f>
            </c:strRef>
          </c:tx>
          <c:dLbls>
            <c:dLblPos val="ctr"/>
            <c:showLegendKey val="0"/>
            <c:showVal val="0"/>
            <c:showCatName val="0"/>
            <c:showSerName val="1"/>
            <c:showPercent val="0"/>
            <c:showBubbleSize val="0"/>
          </c:dLbls>
          <c:xVal>
            <c:strRef>
              <c:f>'Product Price vs. Rating (Log S'!$B$90</c:f>
            </c:strRef>
          </c:xVal>
          <c:yVal>
            <c:numRef>
              <c:f>'Product Price vs. Rating (Log S'!$C$90</c:f>
              <c:numCache/>
            </c:numRef>
          </c:yVal>
          <c:bubbleSize>
            <c:numLit>
              <c:ptCount val="1"/>
              <c:pt idx="0">
                <c:v>1</c:v>
              </c:pt>
            </c:numLit>
          </c:bubbleSize>
        </c:ser>
        <c:ser>
          <c:idx val="87"/>
          <c:order val="87"/>
          <c:tx>
            <c:strRef>
              <c:f>'Product Price vs. Rating (Log S'!$A$91</c:f>
            </c:strRef>
          </c:tx>
          <c:dLbls>
            <c:dLblPos val="ctr"/>
            <c:showLegendKey val="0"/>
            <c:showVal val="0"/>
            <c:showCatName val="0"/>
            <c:showSerName val="1"/>
            <c:showPercent val="0"/>
            <c:showBubbleSize val="0"/>
          </c:dLbls>
          <c:xVal>
            <c:strRef>
              <c:f>'Product Price vs. Rating (Log S'!$B$91</c:f>
            </c:strRef>
          </c:xVal>
          <c:yVal>
            <c:numRef>
              <c:f>'Product Price vs. Rating (Log S'!$C$91</c:f>
              <c:numCache/>
            </c:numRef>
          </c:yVal>
          <c:bubbleSize>
            <c:numLit>
              <c:ptCount val="1"/>
              <c:pt idx="0">
                <c:v>1</c:v>
              </c:pt>
            </c:numLit>
          </c:bubbleSize>
        </c:ser>
        <c:ser>
          <c:idx val="88"/>
          <c:order val="88"/>
          <c:tx>
            <c:strRef>
              <c:f>'Product Price vs. Rating (Log S'!$A$92</c:f>
            </c:strRef>
          </c:tx>
          <c:dLbls>
            <c:dLblPos val="ctr"/>
            <c:showLegendKey val="0"/>
            <c:showVal val="0"/>
            <c:showCatName val="0"/>
            <c:showSerName val="1"/>
            <c:showPercent val="0"/>
            <c:showBubbleSize val="0"/>
          </c:dLbls>
          <c:xVal>
            <c:strRef>
              <c:f>'Product Price vs. Rating (Log S'!$B$92</c:f>
            </c:strRef>
          </c:xVal>
          <c:yVal>
            <c:numRef>
              <c:f>'Product Price vs. Rating (Log S'!$C$92</c:f>
              <c:numCache/>
            </c:numRef>
          </c:yVal>
          <c:bubbleSize>
            <c:numLit>
              <c:ptCount val="1"/>
              <c:pt idx="0">
                <c:v>1</c:v>
              </c:pt>
            </c:numLit>
          </c:bubbleSize>
        </c:ser>
        <c:ser>
          <c:idx val="89"/>
          <c:order val="89"/>
          <c:tx>
            <c:strRef>
              <c:f>'Product Price vs. Rating (Log S'!$A$93</c:f>
            </c:strRef>
          </c:tx>
          <c:dLbls>
            <c:dLblPos val="ctr"/>
            <c:showLegendKey val="0"/>
            <c:showVal val="0"/>
            <c:showCatName val="0"/>
            <c:showSerName val="1"/>
            <c:showPercent val="0"/>
            <c:showBubbleSize val="0"/>
          </c:dLbls>
          <c:xVal>
            <c:strRef>
              <c:f>'Product Price vs. Rating (Log S'!$B$93</c:f>
            </c:strRef>
          </c:xVal>
          <c:yVal>
            <c:numRef>
              <c:f>'Product Price vs. Rating (Log S'!$C$93</c:f>
              <c:numCache/>
            </c:numRef>
          </c:yVal>
          <c:bubbleSize>
            <c:numLit>
              <c:ptCount val="1"/>
              <c:pt idx="0">
                <c:v>1</c:v>
              </c:pt>
            </c:numLit>
          </c:bubbleSize>
        </c:ser>
        <c:ser>
          <c:idx val="90"/>
          <c:order val="90"/>
          <c:tx>
            <c:strRef>
              <c:f>'Product Price vs. Rating (Log S'!$A$94</c:f>
            </c:strRef>
          </c:tx>
          <c:dLbls>
            <c:dLblPos val="ctr"/>
            <c:showLegendKey val="0"/>
            <c:showVal val="0"/>
            <c:showCatName val="0"/>
            <c:showSerName val="1"/>
            <c:showPercent val="0"/>
            <c:showBubbleSize val="0"/>
          </c:dLbls>
          <c:xVal>
            <c:strRef>
              <c:f>'Product Price vs. Rating (Log S'!$B$94</c:f>
            </c:strRef>
          </c:xVal>
          <c:yVal>
            <c:numRef>
              <c:f>'Product Price vs. Rating (Log S'!$C$94</c:f>
              <c:numCache/>
            </c:numRef>
          </c:yVal>
          <c:bubbleSize>
            <c:numLit>
              <c:ptCount val="1"/>
              <c:pt idx="0">
                <c:v>1</c:v>
              </c:pt>
            </c:numLit>
          </c:bubbleSize>
        </c:ser>
        <c:ser>
          <c:idx val="91"/>
          <c:order val="91"/>
          <c:tx>
            <c:strRef>
              <c:f>'Product Price vs. Rating (Log S'!$A$95</c:f>
            </c:strRef>
          </c:tx>
          <c:dLbls>
            <c:dLblPos val="ctr"/>
            <c:showLegendKey val="0"/>
            <c:showVal val="0"/>
            <c:showCatName val="0"/>
            <c:showSerName val="1"/>
            <c:showPercent val="0"/>
            <c:showBubbleSize val="0"/>
          </c:dLbls>
          <c:xVal>
            <c:strRef>
              <c:f>'Product Price vs. Rating (Log S'!$B$95</c:f>
            </c:strRef>
          </c:xVal>
          <c:yVal>
            <c:numRef>
              <c:f>'Product Price vs. Rating (Log S'!$C$95</c:f>
              <c:numCache/>
            </c:numRef>
          </c:yVal>
          <c:bubbleSize>
            <c:numLit>
              <c:ptCount val="1"/>
              <c:pt idx="0">
                <c:v>1</c:v>
              </c:pt>
            </c:numLit>
          </c:bubbleSize>
        </c:ser>
        <c:ser>
          <c:idx val="92"/>
          <c:order val="92"/>
          <c:tx>
            <c:strRef>
              <c:f>'Product Price vs. Rating (Log S'!$A$96</c:f>
            </c:strRef>
          </c:tx>
          <c:dLbls>
            <c:dLblPos val="ctr"/>
            <c:showLegendKey val="0"/>
            <c:showVal val="0"/>
            <c:showCatName val="0"/>
            <c:showSerName val="1"/>
            <c:showPercent val="0"/>
            <c:showBubbleSize val="0"/>
          </c:dLbls>
          <c:xVal>
            <c:strRef>
              <c:f>'Product Price vs. Rating (Log S'!$B$96</c:f>
            </c:strRef>
          </c:xVal>
          <c:yVal>
            <c:numRef>
              <c:f>'Product Price vs. Rating (Log S'!$C$96</c:f>
              <c:numCache/>
            </c:numRef>
          </c:yVal>
          <c:bubbleSize>
            <c:numLit>
              <c:ptCount val="1"/>
              <c:pt idx="0">
                <c:v>1</c:v>
              </c:pt>
            </c:numLit>
          </c:bubbleSize>
        </c:ser>
        <c:ser>
          <c:idx val="93"/>
          <c:order val="93"/>
          <c:tx>
            <c:strRef>
              <c:f>'Product Price vs. Rating (Log S'!$A$97</c:f>
            </c:strRef>
          </c:tx>
          <c:dLbls>
            <c:dLblPos val="ctr"/>
            <c:showLegendKey val="0"/>
            <c:showVal val="0"/>
            <c:showCatName val="0"/>
            <c:showSerName val="1"/>
            <c:showPercent val="0"/>
            <c:showBubbleSize val="0"/>
          </c:dLbls>
          <c:xVal>
            <c:strRef>
              <c:f>'Product Price vs. Rating (Log S'!$B$97</c:f>
            </c:strRef>
          </c:xVal>
          <c:yVal>
            <c:numRef>
              <c:f>'Product Price vs. Rating (Log S'!$C$97</c:f>
              <c:numCache/>
            </c:numRef>
          </c:yVal>
          <c:bubbleSize>
            <c:numLit>
              <c:ptCount val="1"/>
              <c:pt idx="0">
                <c:v>1</c:v>
              </c:pt>
            </c:numLit>
          </c:bubbleSize>
        </c:ser>
        <c:ser>
          <c:idx val="94"/>
          <c:order val="94"/>
          <c:tx>
            <c:strRef>
              <c:f>'Product Price vs. Rating (Log S'!$A$98</c:f>
            </c:strRef>
          </c:tx>
          <c:dLbls>
            <c:dLblPos val="ctr"/>
            <c:showLegendKey val="0"/>
            <c:showVal val="0"/>
            <c:showCatName val="0"/>
            <c:showSerName val="1"/>
            <c:showPercent val="0"/>
            <c:showBubbleSize val="0"/>
          </c:dLbls>
          <c:xVal>
            <c:strRef>
              <c:f>'Product Price vs. Rating (Log S'!$B$98</c:f>
            </c:strRef>
          </c:xVal>
          <c:yVal>
            <c:numRef>
              <c:f>'Product Price vs. Rating (Log S'!$C$98</c:f>
              <c:numCache/>
            </c:numRef>
          </c:yVal>
          <c:bubbleSize>
            <c:numLit>
              <c:ptCount val="1"/>
              <c:pt idx="0">
                <c:v>1</c:v>
              </c:pt>
            </c:numLit>
          </c:bubbleSize>
        </c:ser>
        <c:ser>
          <c:idx val="95"/>
          <c:order val="95"/>
          <c:tx>
            <c:strRef>
              <c:f>'Product Price vs. Rating (Log S'!$A$99</c:f>
            </c:strRef>
          </c:tx>
          <c:dLbls>
            <c:dLblPos val="ctr"/>
            <c:showLegendKey val="0"/>
            <c:showVal val="0"/>
            <c:showCatName val="0"/>
            <c:showSerName val="1"/>
            <c:showPercent val="0"/>
            <c:showBubbleSize val="0"/>
          </c:dLbls>
          <c:xVal>
            <c:strRef>
              <c:f>'Product Price vs. Rating (Log S'!$B$99</c:f>
            </c:strRef>
          </c:xVal>
          <c:yVal>
            <c:numRef>
              <c:f>'Product Price vs. Rating (Log S'!$C$99</c:f>
              <c:numCache/>
            </c:numRef>
          </c:yVal>
          <c:bubbleSize>
            <c:numLit>
              <c:ptCount val="1"/>
              <c:pt idx="0">
                <c:v>1</c:v>
              </c:pt>
            </c:numLit>
          </c:bubbleSize>
        </c:ser>
        <c:ser>
          <c:idx val="96"/>
          <c:order val="96"/>
          <c:tx>
            <c:strRef>
              <c:f>'Product Price vs. Rating (Log S'!$A$100</c:f>
            </c:strRef>
          </c:tx>
          <c:dLbls>
            <c:dLblPos val="ctr"/>
            <c:showLegendKey val="0"/>
            <c:showVal val="0"/>
            <c:showCatName val="0"/>
            <c:showSerName val="1"/>
            <c:showPercent val="0"/>
            <c:showBubbleSize val="0"/>
          </c:dLbls>
          <c:xVal>
            <c:strRef>
              <c:f>'Product Price vs. Rating (Log S'!$B$100</c:f>
            </c:strRef>
          </c:xVal>
          <c:yVal>
            <c:numRef>
              <c:f>'Product Price vs. Rating (Log S'!$C$100</c:f>
              <c:numCache/>
            </c:numRef>
          </c:yVal>
          <c:bubbleSize>
            <c:numLit>
              <c:ptCount val="1"/>
              <c:pt idx="0">
                <c:v>1</c:v>
              </c:pt>
            </c:numLit>
          </c:bubbleSize>
        </c:ser>
        <c:ser>
          <c:idx val="97"/>
          <c:order val="97"/>
          <c:tx>
            <c:strRef>
              <c:f>'Product Price vs. Rating (Log S'!$A$101</c:f>
            </c:strRef>
          </c:tx>
          <c:dLbls>
            <c:dLblPos val="ctr"/>
            <c:showLegendKey val="0"/>
            <c:showVal val="0"/>
            <c:showCatName val="0"/>
            <c:showSerName val="1"/>
            <c:showPercent val="0"/>
            <c:showBubbleSize val="0"/>
          </c:dLbls>
          <c:xVal>
            <c:strRef>
              <c:f>'Product Price vs. Rating (Log S'!$B$101</c:f>
            </c:strRef>
          </c:xVal>
          <c:yVal>
            <c:numRef>
              <c:f>'Product Price vs. Rating (Log S'!$C$101</c:f>
              <c:numCache/>
            </c:numRef>
          </c:yVal>
          <c:bubbleSize>
            <c:numLit>
              <c:ptCount val="1"/>
              <c:pt idx="0">
                <c:v>1</c:v>
              </c:pt>
            </c:numLit>
          </c:bubbleSize>
        </c:ser>
        <c:ser>
          <c:idx val="98"/>
          <c:order val="98"/>
          <c:tx>
            <c:strRef>
              <c:f>'Product Price vs. Rating (Log S'!$A$102</c:f>
            </c:strRef>
          </c:tx>
          <c:dLbls>
            <c:dLblPos val="ctr"/>
            <c:showLegendKey val="0"/>
            <c:showVal val="0"/>
            <c:showCatName val="0"/>
            <c:showSerName val="1"/>
            <c:showPercent val="0"/>
            <c:showBubbleSize val="0"/>
          </c:dLbls>
          <c:xVal>
            <c:strRef>
              <c:f>'Product Price vs. Rating (Log S'!$B$102</c:f>
            </c:strRef>
          </c:xVal>
          <c:yVal>
            <c:numRef>
              <c:f>'Product Price vs. Rating (Log S'!$C$102</c:f>
              <c:numCache/>
            </c:numRef>
          </c:yVal>
          <c:bubbleSize>
            <c:numLit>
              <c:ptCount val="1"/>
              <c:pt idx="0">
                <c:v>1</c:v>
              </c:pt>
            </c:numLit>
          </c:bubbleSize>
        </c:ser>
        <c:ser>
          <c:idx val="99"/>
          <c:order val="99"/>
          <c:tx>
            <c:strRef>
              <c:f>'Product Price vs. Rating (Log S'!$A$103</c:f>
            </c:strRef>
          </c:tx>
          <c:dLbls>
            <c:dLblPos val="ctr"/>
            <c:showLegendKey val="0"/>
            <c:showVal val="0"/>
            <c:showCatName val="0"/>
            <c:showSerName val="1"/>
            <c:showPercent val="0"/>
            <c:showBubbleSize val="0"/>
          </c:dLbls>
          <c:xVal>
            <c:strRef>
              <c:f>'Product Price vs. Rating (Log S'!$B$103</c:f>
            </c:strRef>
          </c:xVal>
          <c:yVal>
            <c:numRef>
              <c:f>'Product Price vs. Rating (Log S'!$C$103</c:f>
              <c:numCache/>
            </c:numRef>
          </c:yVal>
          <c:bubbleSize>
            <c:numLit>
              <c:ptCount val="1"/>
              <c:pt idx="0">
                <c:v>1</c:v>
              </c:pt>
            </c:numLit>
          </c:bubbleSize>
        </c:ser>
        <c:axId val="219713592"/>
        <c:axId val="247380491"/>
      </c:bubbleChart>
      <c:valAx>
        <c:axId val="21971359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47380491"/>
      </c:valAx>
      <c:valAx>
        <c:axId val="247380491"/>
        <c:scaling>
          <c:orientation val="minMax"/>
          <c:max val="5.16074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Rating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9713592"/>
      </c:valAx>
    </c:plotArea>
    <c:legend>
      <c:legendPos val="b"/>
      <c:overlay val="0"/>
      <c:txPr>
        <a:bodyPr/>
        <a:lstStyle/>
        <a:p>
          <a:pPr lvl="0">
            <a:defRPr b="0">
              <a:solidFill>
                <a:srgbClr val="1A1A1A"/>
              </a:solidFill>
              <a:latin typeface="+mn-lt"/>
            </a:defRPr>
          </a:pPr>
        </a:p>
      </c:txPr>
    </c:legend>
  </c:chart>
  <c:spPr>
    <a:solidFill>
      <a:srgbClr val="F0F4F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Average Product Price by Category</a:t>
            </a:r>
          </a:p>
        </c:rich>
      </c:tx>
      <c:overlay val="0"/>
    </c:title>
    <c:plotArea>
      <c:layout/>
      <c:barChart>
        <c:barDir val="col"/>
        <c:grouping val="stacked"/>
        <c:ser>
          <c:idx val="0"/>
          <c:order val="0"/>
          <c:tx>
            <c:strRef>
              <c:f>'Average Product Price by Catego'!$B$3</c:f>
            </c:strRef>
          </c:tx>
          <c:spPr>
            <a:solidFill>
              <a:schemeClr val="accent1"/>
            </a:solidFill>
            <a:ln cmpd="sng">
              <a:solidFill>
                <a:srgbClr val="000000"/>
              </a:solidFill>
            </a:ln>
          </c:spPr>
          <c:cat>
            <c:strRef>
              <c:f>'Average Product Price by Catego'!$A$4:$A$14</c:f>
            </c:strRef>
          </c:cat>
          <c:val>
            <c:numRef>
              <c:f>'Average Product Price by Catego'!$B$4:$B$14</c:f>
              <c:numCache/>
            </c:numRef>
          </c:val>
        </c:ser>
        <c:ser>
          <c:idx val="1"/>
          <c:order val="1"/>
          <c:tx>
            <c:strRef>
              <c:f>'Average Product Price by Catego'!$C$3</c:f>
            </c:strRef>
          </c:tx>
          <c:spPr>
            <a:solidFill>
              <a:schemeClr val="accent2"/>
            </a:solidFill>
            <a:ln cmpd="sng">
              <a:solidFill>
                <a:srgbClr val="000000"/>
              </a:solidFill>
            </a:ln>
          </c:spPr>
          <c:cat>
            <c:strRef>
              <c:f>'Average Product Price by Catego'!$A$4:$A$14</c:f>
            </c:strRef>
          </c:cat>
          <c:val>
            <c:numRef>
              <c:f>'Average Product Price by Catego'!$C$4:$C$14</c:f>
              <c:numCache/>
            </c:numRef>
          </c:val>
        </c:ser>
        <c:ser>
          <c:idx val="2"/>
          <c:order val="2"/>
          <c:tx>
            <c:strRef>
              <c:f>'Average Product Price by Catego'!$D$3</c:f>
            </c:strRef>
          </c:tx>
          <c:spPr>
            <a:solidFill>
              <a:schemeClr val="accent3"/>
            </a:solidFill>
            <a:ln cmpd="sng">
              <a:solidFill>
                <a:srgbClr val="000000"/>
              </a:solidFill>
            </a:ln>
          </c:spPr>
          <c:cat>
            <c:strRef>
              <c:f>'Average Product Price by Catego'!$A$4:$A$14</c:f>
            </c:strRef>
          </c:cat>
          <c:val>
            <c:numRef>
              <c:f>'Average Product Price by Catego'!$D$4:$D$14</c:f>
              <c:numCache/>
            </c:numRef>
          </c:val>
        </c:ser>
        <c:ser>
          <c:idx val="3"/>
          <c:order val="3"/>
          <c:tx>
            <c:strRef>
              <c:f>'Average Product Price by Catego'!$E$3</c:f>
            </c:strRef>
          </c:tx>
          <c:spPr>
            <a:solidFill>
              <a:schemeClr val="accent4"/>
            </a:solidFill>
            <a:ln cmpd="sng">
              <a:solidFill>
                <a:srgbClr val="000000"/>
              </a:solidFill>
            </a:ln>
          </c:spPr>
          <c:cat>
            <c:strRef>
              <c:f>'Average Product Price by Catego'!$A$4:$A$14</c:f>
            </c:strRef>
          </c:cat>
          <c:val>
            <c:numRef>
              <c:f>'Average Product Price by Catego'!$E$4:$E$14</c:f>
              <c:numCache/>
            </c:numRef>
          </c:val>
        </c:ser>
        <c:ser>
          <c:idx val="4"/>
          <c:order val="4"/>
          <c:tx>
            <c:strRef>
              <c:f>'Average Product Price by Catego'!$F$3</c:f>
            </c:strRef>
          </c:tx>
          <c:spPr>
            <a:solidFill>
              <a:schemeClr val="accent5"/>
            </a:solidFill>
            <a:ln cmpd="sng">
              <a:solidFill>
                <a:srgbClr val="000000"/>
              </a:solidFill>
            </a:ln>
          </c:spPr>
          <c:cat>
            <c:strRef>
              <c:f>'Average Product Price by Catego'!$A$4:$A$14</c:f>
            </c:strRef>
          </c:cat>
          <c:val>
            <c:numRef>
              <c:f>'Average Product Price by Catego'!$F$4:$F$14</c:f>
              <c:numCache/>
            </c:numRef>
          </c:val>
        </c:ser>
        <c:ser>
          <c:idx val="5"/>
          <c:order val="5"/>
          <c:tx>
            <c:strRef>
              <c:f>'Average Product Price by Catego'!$G$3</c:f>
            </c:strRef>
          </c:tx>
          <c:spPr>
            <a:solidFill>
              <a:schemeClr val="accent6"/>
            </a:solidFill>
            <a:ln cmpd="sng">
              <a:solidFill>
                <a:srgbClr val="000000"/>
              </a:solidFill>
            </a:ln>
          </c:spPr>
          <c:cat>
            <c:strRef>
              <c:f>'Average Product Price by Catego'!$A$4:$A$14</c:f>
            </c:strRef>
          </c:cat>
          <c:val>
            <c:numRef>
              <c:f>'Average Product Price by Catego'!$G$4:$G$14</c:f>
              <c:numCache/>
            </c:numRef>
          </c:val>
        </c:ser>
        <c:ser>
          <c:idx val="6"/>
          <c:order val="6"/>
          <c:tx>
            <c:strRef>
              <c:f>'Average Product Price by Catego'!$H$3</c:f>
            </c:strRef>
          </c:tx>
          <c:spPr>
            <a:solidFill>
              <a:schemeClr val="accent1">
                <a:lumOff val="30000"/>
              </a:schemeClr>
            </a:solidFill>
            <a:ln cmpd="sng">
              <a:solidFill>
                <a:srgbClr val="000000"/>
              </a:solidFill>
            </a:ln>
          </c:spPr>
          <c:cat>
            <c:strRef>
              <c:f>'Average Product Price by Catego'!$A$4:$A$14</c:f>
            </c:strRef>
          </c:cat>
          <c:val>
            <c:numRef>
              <c:f>'Average Product Price by Catego'!$H$4:$H$14</c:f>
              <c:numCache/>
            </c:numRef>
          </c:val>
        </c:ser>
        <c:ser>
          <c:idx val="7"/>
          <c:order val="7"/>
          <c:tx>
            <c:strRef>
              <c:f>'Average Product Price by Catego'!$I$3</c:f>
            </c:strRef>
          </c:tx>
          <c:spPr>
            <a:solidFill>
              <a:schemeClr val="accent2">
                <a:lumOff val="30000"/>
              </a:schemeClr>
            </a:solidFill>
            <a:ln cmpd="sng">
              <a:solidFill>
                <a:srgbClr val="000000"/>
              </a:solidFill>
            </a:ln>
          </c:spPr>
          <c:cat>
            <c:strRef>
              <c:f>'Average Product Price by Catego'!$A$4:$A$14</c:f>
            </c:strRef>
          </c:cat>
          <c:val>
            <c:numRef>
              <c:f>'Average Product Price by Catego'!$I$4:$I$14</c:f>
              <c:numCache/>
            </c:numRef>
          </c:val>
        </c:ser>
        <c:ser>
          <c:idx val="8"/>
          <c:order val="8"/>
          <c:tx>
            <c:strRef>
              <c:f>'Average Product Price by Catego'!$J$3</c:f>
            </c:strRef>
          </c:tx>
          <c:spPr>
            <a:solidFill>
              <a:schemeClr val="accent3">
                <a:lumOff val="30000"/>
              </a:schemeClr>
            </a:solidFill>
            <a:ln cmpd="sng">
              <a:solidFill>
                <a:srgbClr val="000000"/>
              </a:solidFill>
            </a:ln>
          </c:spPr>
          <c:cat>
            <c:strRef>
              <c:f>'Average Product Price by Catego'!$A$4:$A$14</c:f>
            </c:strRef>
          </c:cat>
          <c:val>
            <c:numRef>
              <c:f>'Average Product Price by Catego'!$J$4:$J$14</c:f>
              <c:numCache/>
            </c:numRef>
          </c:val>
        </c:ser>
        <c:ser>
          <c:idx val="9"/>
          <c:order val="9"/>
          <c:tx>
            <c:strRef>
              <c:f>'Average Product Price by Catego'!$K$3</c:f>
            </c:strRef>
          </c:tx>
          <c:spPr>
            <a:solidFill>
              <a:schemeClr val="accent4">
                <a:lumOff val="30000"/>
              </a:schemeClr>
            </a:solidFill>
            <a:ln cmpd="sng">
              <a:solidFill>
                <a:srgbClr val="000000"/>
              </a:solidFill>
            </a:ln>
          </c:spPr>
          <c:cat>
            <c:strRef>
              <c:f>'Average Product Price by Catego'!$A$4:$A$14</c:f>
            </c:strRef>
          </c:cat>
          <c:val>
            <c:numRef>
              <c:f>'Average Product Price by Catego'!$K$4:$K$14</c:f>
              <c:numCache/>
            </c:numRef>
          </c:val>
        </c:ser>
        <c:ser>
          <c:idx val="10"/>
          <c:order val="10"/>
          <c:tx>
            <c:strRef>
              <c:f>'Average Product Price by Catego'!$L$3</c:f>
            </c:strRef>
          </c:tx>
          <c:spPr>
            <a:solidFill>
              <a:schemeClr val="accent5">
                <a:lumOff val="30000"/>
              </a:schemeClr>
            </a:solidFill>
            <a:ln cmpd="sng">
              <a:solidFill>
                <a:srgbClr val="000000"/>
              </a:solidFill>
            </a:ln>
          </c:spPr>
          <c:cat>
            <c:strRef>
              <c:f>'Average Product Price by Catego'!$A$4:$A$14</c:f>
            </c:strRef>
          </c:cat>
          <c:val>
            <c:numRef>
              <c:f>'Average Product Price by Catego'!$L$4:$L$14</c:f>
              <c:numCache/>
            </c:numRef>
          </c:val>
        </c:ser>
        <c:overlap val="100"/>
        <c:axId val="453852152"/>
        <c:axId val="1656134490"/>
      </c:barChart>
      <c:catAx>
        <c:axId val="4538521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656134490"/>
      </c:catAx>
      <c:valAx>
        <c:axId val="16561344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Price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3852152"/>
      </c:valAx>
    </c:plotArea>
  </c:chart>
  <c:spPr>
    <a:solidFill>
      <a:srgbClr val="F0F4F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Number of Products by Category</a:t>
            </a:r>
          </a:p>
        </c:rich>
      </c:tx>
      <c:overlay val="0"/>
    </c:title>
    <c:plotArea>
      <c:layout/>
      <c:barChart>
        <c:barDir val="col"/>
        <c:grouping val="stacked"/>
        <c:ser>
          <c:idx val="0"/>
          <c:order val="0"/>
          <c:tx>
            <c:strRef>
              <c:f>'Number of Products by Category'!$B$3</c:f>
            </c:strRef>
          </c:tx>
          <c:spPr>
            <a:solidFill>
              <a:schemeClr val="accent1"/>
            </a:solidFill>
            <a:ln cmpd="sng">
              <a:solidFill>
                <a:srgbClr val="000000"/>
              </a:solidFill>
            </a:ln>
          </c:spPr>
          <c:cat>
            <c:strRef>
              <c:f>'Number of Products by Category'!$A$4:$A$14</c:f>
            </c:strRef>
          </c:cat>
          <c:val>
            <c:numRef>
              <c:f>'Number of Products by Category'!$B$4:$B$14</c:f>
              <c:numCache/>
            </c:numRef>
          </c:val>
        </c:ser>
        <c:ser>
          <c:idx val="1"/>
          <c:order val="1"/>
          <c:tx>
            <c:strRef>
              <c:f>'Number of Products by Category'!$C$3</c:f>
            </c:strRef>
          </c:tx>
          <c:spPr>
            <a:solidFill>
              <a:schemeClr val="accent2"/>
            </a:solidFill>
            <a:ln cmpd="sng">
              <a:solidFill>
                <a:srgbClr val="000000"/>
              </a:solidFill>
            </a:ln>
          </c:spPr>
          <c:cat>
            <c:strRef>
              <c:f>'Number of Products by Category'!$A$4:$A$14</c:f>
            </c:strRef>
          </c:cat>
          <c:val>
            <c:numRef>
              <c:f>'Number of Products by Category'!$C$4:$C$14</c:f>
              <c:numCache/>
            </c:numRef>
          </c:val>
        </c:ser>
        <c:ser>
          <c:idx val="2"/>
          <c:order val="2"/>
          <c:tx>
            <c:strRef>
              <c:f>'Number of Products by Category'!$D$3</c:f>
            </c:strRef>
          </c:tx>
          <c:spPr>
            <a:solidFill>
              <a:schemeClr val="accent3"/>
            </a:solidFill>
            <a:ln cmpd="sng">
              <a:solidFill>
                <a:srgbClr val="000000"/>
              </a:solidFill>
            </a:ln>
          </c:spPr>
          <c:cat>
            <c:strRef>
              <c:f>'Number of Products by Category'!$A$4:$A$14</c:f>
            </c:strRef>
          </c:cat>
          <c:val>
            <c:numRef>
              <c:f>'Number of Products by Category'!$D$4:$D$14</c:f>
              <c:numCache/>
            </c:numRef>
          </c:val>
        </c:ser>
        <c:ser>
          <c:idx val="3"/>
          <c:order val="3"/>
          <c:tx>
            <c:strRef>
              <c:f>'Number of Products by Category'!$E$3</c:f>
            </c:strRef>
          </c:tx>
          <c:spPr>
            <a:solidFill>
              <a:schemeClr val="accent4"/>
            </a:solidFill>
            <a:ln cmpd="sng">
              <a:solidFill>
                <a:srgbClr val="000000"/>
              </a:solidFill>
            </a:ln>
          </c:spPr>
          <c:cat>
            <c:strRef>
              <c:f>'Number of Products by Category'!$A$4:$A$14</c:f>
            </c:strRef>
          </c:cat>
          <c:val>
            <c:numRef>
              <c:f>'Number of Products by Category'!$E$4:$E$14</c:f>
              <c:numCache/>
            </c:numRef>
          </c:val>
        </c:ser>
        <c:ser>
          <c:idx val="4"/>
          <c:order val="4"/>
          <c:tx>
            <c:strRef>
              <c:f>'Number of Products by Category'!$F$3</c:f>
            </c:strRef>
          </c:tx>
          <c:spPr>
            <a:solidFill>
              <a:schemeClr val="accent5"/>
            </a:solidFill>
            <a:ln cmpd="sng">
              <a:solidFill>
                <a:srgbClr val="000000"/>
              </a:solidFill>
            </a:ln>
          </c:spPr>
          <c:cat>
            <c:strRef>
              <c:f>'Number of Products by Category'!$A$4:$A$14</c:f>
            </c:strRef>
          </c:cat>
          <c:val>
            <c:numRef>
              <c:f>'Number of Products by Category'!$F$4:$F$14</c:f>
              <c:numCache/>
            </c:numRef>
          </c:val>
        </c:ser>
        <c:ser>
          <c:idx val="5"/>
          <c:order val="5"/>
          <c:tx>
            <c:strRef>
              <c:f>'Number of Products by Category'!$G$3</c:f>
            </c:strRef>
          </c:tx>
          <c:spPr>
            <a:solidFill>
              <a:schemeClr val="accent6"/>
            </a:solidFill>
            <a:ln cmpd="sng">
              <a:solidFill>
                <a:srgbClr val="000000"/>
              </a:solidFill>
            </a:ln>
          </c:spPr>
          <c:cat>
            <c:strRef>
              <c:f>'Number of Products by Category'!$A$4:$A$14</c:f>
            </c:strRef>
          </c:cat>
          <c:val>
            <c:numRef>
              <c:f>'Number of Products by Category'!$G$4:$G$14</c:f>
              <c:numCache/>
            </c:numRef>
          </c:val>
        </c:ser>
        <c:ser>
          <c:idx val="6"/>
          <c:order val="6"/>
          <c:tx>
            <c:strRef>
              <c:f>'Number of Products by Category'!$H$3</c:f>
            </c:strRef>
          </c:tx>
          <c:spPr>
            <a:solidFill>
              <a:schemeClr val="accent1">
                <a:lumOff val="30000"/>
              </a:schemeClr>
            </a:solidFill>
            <a:ln cmpd="sng">
              <a:solidFill>
                <a:srgbClr val="000000"/>
              </a:solidFill>
            </a:ln>
          </c:spPr>
          <c:cat>
            <c:strRef>
              <c:f>'Number of Products by Category'!$A$4:$A$14</c:f>
            </c:strRef>
          </c:cat>
          <c:val>
            <c:numRef>
              <c:f>'Number of Products by Category'!$H$4:$H$14</c:f>
              <c:numCache/>
            </c:numRef>
          </c:val>
        </c:ser>
        <c:ser>
          <c:idx val="7"/>
          <c:order val="7"/>
          <c:tx>
            <c:strRef>
              <c:f>'Number of Products by Category'!$I$3</c:f>
            </c:strRef>
          </c:tx>
          <c:spPr>
            <a:solidFill>
              <a:schemeClr val="accent2">
                <a:lumOff val="30000"/>
              </a:schemeClr>
            </a:solidFill>
            <a:ln cmpd="sng">
              <a:solidFill>
                <a:srgbClr val="000000"/>
              </a:solidFill>
            </a:ln>
          </c:spPr>
          <c:cat>
            <c:strRef>
              <c:f>'Number of Products by Category'!$A$4:$A$14</c:f>
            </c:strRef>
          </c:cat>
          <c:val>
            <c:numRef>
              <c:f>'Number of Products by Category'!$I$4:$I$14</c:f>
              <c:numCache/>
            </c:numRef>
          </c:val>
        </c:ser>
        <c:ser>
          <c:idx val="8"/>
          <c:order val="8"/>
          <c:tx>
            <c:strRef>
              <c:f>'Number of Products by Category'!$J$3</c:f>
            </c:strRef>
          </c:tx>
          <c:spPr>
            <a:solidFill>
              <a:schemeClr val="accent3">
                <a:lumOff val="30000"/>
              </a:schemeClr>
            </a:solidFill>
            <a:ln cmpd="sng">
              <a:solidFill>
                <a:srgbClr val="000000"/>
              </a:solidFill>
            </a:ln>
          </c:spPr>
          <c:cat>
            <c:strRef>
              <c:f>'Number of Products by Category'!$A$4:$A$14</c:f>
            </c:strRef>
          </c:cat>
          <c:val>
            <c:numRef>
              <c:f>'Number of Products by Category'!$J$4:$J$14</c:f>
              <c:numCache/>
            </c:numRef>
          </c:val>
        </c:ser>
        <c:ser>
          <c:idx val="9"/>
          <c:order val="9"/>
          <c:tx>
            <c:strRef>
              <c:f>'Number of Products by Category'!$K$3</c:f>
            </c:strRef>
          </c:tx>
          <c:spPr>
            <a:solidFill>
              <a:schemeClr val="accent4">
                <a:lumOff val="30000"/>
              </a:schemeClr>
            </a:solidFill>
            <a:ln cmpd="sng">
              <a:solidFill>
                <a:srgbClr val="000000"/>
              </a:solidFill>
            </a:ln>
          </c:spPr>
          <c:cat>
            <c:strRef>
              <c:f>'Number of Products by Category'!$A$4:$A$14</c:f>
            </c:strRef>
          </c:cat>
          <c:val>
            <c:numRef>
              <c:f>'Number of Products by Category'!$K$4:$K$14</c:f>
              <c:numCache/>
            </c:numRef>
          </c:val>
        </c:ser>
        <c:ser>
          <c:idx val="10"/>
          <c:order val="10"/>
          <c:tx>
            <c:strRef>
              <c:f>'Number of Products by Category'!$L$3</c:f>
            </c:strRef>
          </c:tx>
          <c:spPr>
            <a:solidFill>
              <a:schemeClr val="accent5">
                <a:lumOff val="30000"/>
              </a:schemeClr>
            </a:solidFill>
            <a:ln cmpd="sng">
              <a:solidFill>
                <a:srgbClr val="000000"/>
              </a:solidFill>
            </a:ln>
          </c:spPr>
          <c:cat>
            <c:strRef>
              <c:f>'Number of Products by Category'!$A$4:$A$14</c:f>
            </c:strRef>
          </c:cat>
          <c:val>
            <c:numRef>
              <c:f>'Number of Products by Category'!$L$4:$L$14</c:f>
              <c:numCache/>
            </c:numRef>
          </c:val>
        </c:ser>
        <c:overlap val="100"/>
        <c:axId val="565857065"/>
        <c:axId val="140081627"/>
      </c:barChart>
      <c:catAx>
        <c:axId val="5658570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40081627"/>
      </c:catAx>
      <c:valAx>
        <c:axId val="1400816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Products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5857065"/>
      </c:valAx>
    </c:plotArea>
  </c:chart>
  <c:spPr>
    <a:solidFill>
      <a:srgbClr val="F0F4F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Sentiment Analysis of Products</a:t>
            </a:r>
          </a:p>
        </c:rich>
      </c:tx>
      <c:overlay val="0"/>
    </c:title>
    <c:plotArea>
      <c:layout/>
      <c:pieChart>
        <c:varyColors val="1"/>
        <c:ser>
          <c:idx val="0"/>
          <c:order val="0"/>
          <c:tx>
            <c:strRef>
              <c:f>'Sentiment Analysis of Products'!$B$3</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'Sentiment Analysis of Products'!$A$4:$A$6</c:f>
            </c:strRef>
          </c:cat>
          <c:val>
            <c:numRef>
              <c:f>'Sentiment Analysis of Products'!$B$4:$B$6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spPr>
    <a:solidFill>
      <a:srgbClr val="F0F4F9"/>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T101" displayName="Product_Description" name="Product_Description" id="1">
  <tableColumns count="20">
    <tableColumn name="id" id="1"/>
    <tableColumn name="title" id="2"/>
    <tableColumn name="description" id="3"/>
    <tableColumn name="category" id="4"/>
    <tableColumn name="price" id="5"/>
    <tableColumn name="discountPercentage" id="6"/>
    <tableColumn name="rating" id="7"/>
    <tableColumn name="stock" id="8"/>
    <tableColumn name="tags" id="9"/>
    <tableColumn name="brand" id="10"/>
    <tableColumn name="weight" id="11"/>
    <tableColumn name="warrantyInformation" id="12"/>
    <tableColumn name="shippingInformation" id="13"/>
    <tableColumn name="availabilityStatus" id="14"/>
    <tableColumn name="reviews" id="15"/>
    <tableColumn name="returnPolicy" id="16"/>
    <tableColumn name="minimumOrderQuantity" id="17"/>
    <tableColumn name="Summary of the description using AI" id="18"/>
    <tableColumn name="Translation in FRENCH" id="19"/>
    <tableColumn name="Sentiment Analysis" id="20"/>
  </tableColumns>
  <tableStyleInfo name="product_description-style" showColumnStripes="0" showFirstColumn="1" showLastColumn="1" showRowStripes="1"/>
</table>
</file>

<file path=xl/tables/table2.xml><?xml version="1.0" encoding="utf-8"?>
<table xmlns="http://schemas.openxmlformats.org/spreadsheetml/2006/main" ref="A3:C103" displayName="Product_Price_vs._Rating_Log_Scale_Price_" name="Product_Price_vs._Rating_Log_Scale_Price_" id="2">
  <tableColumns count="3">
    <tableColumn name="price" id="1"/>
    <tableColumn name="rating" id="2"/>
    <tableColumn name="category" id="3"/>
  </tableColumns>
  <tableStyleInfo name="Product Price vs. Rating (Log S-style" showColumnStripes="0" showFirstColumn="1" showLastColumn="1" showRowStripes="1"/>
</table>
</file>

<file path=xl/tables/table3.xml><?xml version="1.0" encoding="utf-8"?>
<table xmlns="http://schemas.openxmlformats.org/spreadsheetml/2006/main" ref="A3:L14" displayName="Average_Product_Price_by_Category" name="Average_Product_Price_by_Category" id="3">
  <tableColumns count="12">
    <tableColumn name="Category" id="1"/>
    <tableColumn name="beauty" id="2"/>
    <tableColumn name="fragrances" id="3"/>
    <tableColumn name="furniture" id="4"/>
    <tableColumn name="groceries" id="5"/>
    <tableColumn name="home-decoration" id="6"/>
    <tableColumn name="kitchen-accessories" id="7"/>
    <tableColumn name="laptops" id="8"/>
    <tableColumn name="mens-shirts" id="9"/>
    <tableColumn name="mens-shoes" id="10"/>
    <tableColumn name="mens-watches" id="11"/>
    <tableColumn name="mobile-accessories" id="12"/>
  </tableColumns>
  <tableStyleInfo name="Average Product Price by Catego-style" showColumnStripes="0" showFirstColumn="1" showLastColumn="1" showRowStripes="1"/>
</table>
</file>

<file path=xl/tables/table4.xml><?xml version="1.0" encoding="utf-8"?>
<table xmlns="http://schemas.openxmlformats.org/spreadsheetml/2006/main" ref="A3:L14" displayName="Number_of_Products_by_Category" name="Number_of_Products_by_Category" id="4">
  <tableColumns count="12">
    <tableColumn name="Category" id="1"/>
    <tableColumn name="kitchen-accessories" id="2"/>
    <tableColumn name="groceries" id="3"/>
    <tableColumn name="mens-watches" id="4"/>
    <tableColumn name="beauty" id="5"/>
    <tableColumn name="fragrances" id="6"/>
    <tableColumn name="furniture" id="7"/>
    <tableColumn name="home-decoration" id="8"/>
    <tableColumn name="laptops" id="9"/>
    <tableColumn name="mens-shirts" id="10"/>
    <tableColumn name="mens-shoes" id="11"/>
    <tableColumn name="mobile-accessories" id="12"/>
  </tableColumns>
  <tableStyleInfo name="Number of Products by Category-style" showColumnStripes="0" showFirstColumn="1" showLastColumn="1" showRowStripes="1"/>
</table>
</file>

<file path=xl/tables/table5.xml><?xml version="1.0" encoding="utf-8"?>
<table xmlns="http://schemas.openxmlformats.org/spreadsheetml/2006/main" ref="A3:B6" displayName="Sentiment_Analysis_of_Products" name="Sentiment_Analysis_of_Products" id="5">
  <tableColumns count="2">
    <tableColumn name="Sentiment" id="1"/>
    <tableColumn name="Count" id="2"/>
  </tableColumns>
  <tableStyleInfo name="Sentiment Analysis of Produc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3.5"/>
    <col customWidth="1" min="3" max="3" width="37.63"/>
    <col customWidth="1" min="6" max="6" width="20.38"/>
    <col customWidth="1" min="9" max="9" width="22.13"/>
    <col customWidth="1" min="10" max="10" width="15.88"/>
    <col customWidth="1" min="12" max="12" width="20.63"/>
    <col customWidth="1" min="13" max="13" width="21.75"/>
    <col customWidth="1" min="14" max="14" width="18.0"/>
    <col customWidth="1" min="15" max="15" width="37.63"/>
    <col customWidth="1" min="16" max="16" width="17.63"/>
    <col customWidth="1" min="17" max="17" width="22.75"/>
    <col customWidth="1" min="18" max="18" width="68.5"/>
    <col customWidth="1" min="19" max="19" width="159.13"/>
    <col customWidth="1" min="20" max="20" width="13.7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3" t="s">
        <v>18</v>
      </c>
      <c r="T1" s="2" t="s">
        <v>19</v>
      </c>
    </row>
    <row r="2" ht="22.5" customHeight="1">
      <c r="A2" s="4">
        <v>1.0</v>
      </c>
      <c r="B2" s="4" t="s">
        <v>20</v>
      </c>
      <c r="C2" s="4" t="s">
        <v>21</v>
      </c>
      <c r="D2" s="4" t="s">
        <v>22</v>
      </c>
      <c r="E2" s="4">
        <v>9.99</v>
      </c>
      <c r="F2" s="4">
        <v>10.48</v>
      </c>
      <c r="G2" s="4">
        <v>2.56</v>
      </c>
      <c r="H2" s="4">
        <v>99.0</v>
      </c>
      <c r="I2" s="4" t="s">
        <v>23</v>
      </c>
      <c r="J2" s="4" t="s">
        <v>24</v>
      </c>
      <c r="K2" s="4">
        <v>4.0</v>
      </c>
      <c r="L2" s="4" t="s">
        <v>25</v>
      </c>
      <c r="M2" s="4" t="s">
        <v>26</v>
      </c>
      <c r="N2" s="4" t="s">
        <v>27</v>
      </c>
      <c r="O2" s="4" t="s">
        <v>28</v>
      </c>
      <c r="P2" s="4" t="s">
        <v>29</v>
      </c>
      <c r="Q2" s="4">
        <v>48.0</v>
      </c>
      <c r="R2" s="5" t="str">
        <f>IFERROR(__xludf.DUMMYFUNCTION("AI(""Summarize this description using 10 words"")"),"Popular volumizing and lengthening mascara for dramatic, long-lasting, cruelty-free lashes.")</f>
        <v>Popular volumizing and lengthening mascara for dramatic, long-lasting, cruelty-free lashes.</v>
      </c>
      <c r="S2" s="5" t="str">
        <f>IFERROR(__xludf.DUMMYFUNCTION("AI(""Translate column R in French"")"),"Mascara volumisant et allongeant populaire pour des cils spectaculaires, durables et sans cruauté.")</f>
        <v>Mascara volumisant et allongeant populaire pour des cils spectaculaires, durables et sans cruauté.</v>
      </c>
      <c r="T2" s="5" t="str">
        <f>IFERROR(__xludf.DUMMYFUNCTION("AI(""DO A SENTIMENT ANALYSIS FOR THIS TABLE"")"),"Mixed")</f>
        <v>Mixed</v>
      </c>
    </row>
    <row r="3" ht="22.5" customHeight="1">
      <c r="A3" s="4">
        <v>2.0</v>
      </c>
      <c r="B3" s="4" t="s">
        <v>30</v>
      </c>
      <c r="C3" s="4" t="s">
        <v>31</v>
      </c>
      <c r="D3" s="4" t="s">
        <v>22</v>
      </c>
      <c r="E3" s="4">
        <v>19.99</v>
      </c>
      <c r="F3" s="4">
        <v>18.19</v>
      </c>
      <c r="G3" s="4">
        <v>2.86</v>
      </c>
      <c r="H3" s="4">
        <v>34.0</v>
      </c>
      <c r="I3" s="4" t="s">
        <v>32</v>
      </c>
      <c r="J3" s="4" t="s">
        <v>33</v>
      </c>
      <c r="K3" s="4">
        <v>9.0</v>
      </c>
      <c r="L3" s="4" t="s">
        <v>34</v>
      </c>
      <c r="M3" s="4" t="s">
        <v>35</v>
      </c>
      <c r="N3" s="4" t="s">
        <v>27</v>
      </c>
      <c r="O3" s="4" t="s">
        <v>36</v>
      </c>
      <c r="P3" s="4" t="s">
        <v>37</v>
      </c>
      <c r="Q3" s="4">
        <v>20.0</v>
      </c>
      <c r="R3" s="5" t="str">
        <f>IFERROR(__xludf.DUMMYFUNCTION("AI(""Summarize this description using 10 words"")"),"Versatile eyeshadow palette with built-in mirror for stunning on-the-go looks.")</f>
        <v>Versatile eyeshadow palette with built-in mirror for stunning on-the-go looks.</v>
      </c>
      <c r="S3" s="5" t="str">
        <f>IFERROR(__xludf.DUMMYFUNCTION("AI(""Translate column R in French"")"),"Palette d'ombres à paupières polyvalente avec miroir intégré pour des looks époustouflants lors de vos déplacements.")</f>
        <v>Palette d'ombres à paupières polyvalente avec miroir intégré pour des looks époustouflants lors de vos déplacements.</v>
      </c>
      <c r="T3" s="5" t="str">
        <f>IFERROR(__xludf.DUMMYFUNCTION("AI(""DO A SENTIMENT ANALYSIS FOR THIS TABLE"")"),"Mixed")</f>
        <v>Mixed</v>
      </c>
    </row>
    <row r="4" ht="22.5" customHeight="1">
      <c r="A4" s="4">
        <v>3.0</v>
      </c>
      <c r="B4" s="4" t="s">
        <v>38</v>
      </c>
      <c r="C4" s="4" t="s">
        <v>39</v>
      </c>
      <c r="D4" s="4" t="s">
        <v>22</v>
      </c>
      <c r="E4" s="4">
        <v>14.99</v>
      </c>
      <c r="F4" s="4">
        <v>9.84</v>
      </c>
      <c r="G4" s="4">
        <v>4.64</v>
      </c>
      <c r="H4" s="4">
        <v>89.0</v>
      </c>
      <c r="I4" s="4" t="s">
        <v>40</v>
      </c>
      <c r="J4" s="4" t="s">
        <v>41</v>
      </c>
      <c r="K4" s="4">
        <v>8.0</v>
      </c>
      <c r="L4" s="4" t="s">
        <v>42</v>
      </c>
      <c r="M4" s="4" t="s">
        <v>43</v>
      </c>
      <c r="N4" s="4" t="s">
        <v>27</v>
      </c>
      <c r="O4" s="4" t="s">
        <v>44</v>
      </c>
      <c r="P4" s="4" t="s">
        <v>29</v>
      </c>
      <c r="Q4" s="4">
        <v>22.0</v>
      </c>
      <c r="R4" s="5" t="str">
        <f>IFERROR(__xludf.DUMMYFUNCTION("AI(""Summarize this description using 10 words"")"),"Lightweight translucent setting powder for a smooth and matte finish.")</f>
        <v>Lightweight translucent setting powder for a smooth and matte finish.</v>
      </c>
      <c r="S4" s="5" t="str">
        <f>IFERROR(__xludf.DUMMYFUNCTION("AI(""Translate column R in French"")"),"Poudre fixatrice translucide et légère pour un fini lisse et mat.")</f>
        <v>Poudre fixatrice translucide et légère pour un fini lisse et mat.</v>
      </c>
      <c r="T4" s="5" t="str">
        <f>IFERROR(__xludf.DUMMYFUNCTION("AI(""DO A SENTIMENT ANALYSIS FOR THIS TABLE"")"),"Mixed")</f>
        <v>Mixed</v>
      </c>
    </row>
    <row r="5" ht="22.5" customHeight="1">
      <c r="A5" s="4">
        <v>4.0</v>
      </c>
      <c r="B5" s="4" t="s">
        <v>45</v>
      </c>
      <c r="C5" s="4" t="s">
        <v>46</v>
      </c>
      <c r="D5" s="4" t="s">
        <v>22</v>
      </c>
      <c r="E5" s="4">
        <v>12.99</v>
      </c>
      <c r="F5" s="4">
        <v>12.16</v>
      </c>
      <c r="G5" s="4">
        <v>4.36</v>
      </c>
      <c r="H5" s="4">
        <v>91.0</v>
      </c>
      <c r="I5" s="4" t="s">
        <v>47</v>
      </c>
      <c r="J5" s="4" t="s">
        <v>48</v>
      </c>
      <c r="K5" s="4">
        <v>1.0</v>
      </c>
      <c r="L5" s="4" t="s">
        <v>49</v>
      </c>
      <c r="M5" s="4" t="s">
        <v>50</v>
      </c>
      <c r="N5" s="4" t="s">
        <v>27</v>
      </c>
      <c r="O5" s="4" t="s">
        <v>51</v>
      </c>
      <c r="P5" s="4" t="s">
        <v>37</v>
      </c>
      <c r="Q5" s="4">
        <v>40.0</v>
      </c>
      <c r="R5" s="5" t="str">
        <f>IFERROR(__xludf.DUMMYFUNCTION("AI(""Summarize this description using 10 words"")"),"Classic, bold red lipstick with creamy formula for vibrant finish.")</f>
        <v>Classic, bold red lipstick with creamy formula for vibrant finish.</v>
      </c>
      <c r="S5" s="5" t="str">
        <f>IFERROR(__xludf.DUMMYFUNCTION("AI(""Translate column R in French"")"),"Rouge à lèvres rouge classique et audacieux avec une formule crémeuse pour un fini éclatant.")</f>
        <v>Rouge à lèvres rouge classique et audacieux avec une formule crémeuse pour un fini éclatant.</v>
      </c>
      <c r="T5" s="5" t="str">
        <f>IFERROR(__xludf.DUMMYFUNCTION("AI(""DO A SENTIMENT ANALYSIS FOR THIS TABLE"")"),"Positive")</f>
        <v>Positive</v>
      </c>
    </row>
    <row r="6" ht="22.5" customHeight="1">
      <c r="A6" s="4">
        <v>5.0</v>
      </c>
      <c r="B6" s="4" t="s">
        <v>52</v>
      </c>
      <c r="C6" s="4" t="s">
        <v>53</v>
      </c>
      <c r="D6" s="4" t="s">
        <v>22</v>
      </c>
      <c r="E6" s="4">
        <v>8.99</v>
      </c>
      <c r="F6" s="4">
        <v>11.44</v>
      </c>
      <c r="G6" s="4">
        <v>4.32</v>
      </c>
      <c r="H6" s="4">
        <v>79.0</v>
      </c>
      <c r="I6" s="4" t="s">
        <v>54</v>
      </c>
      <c r="J6" s="4" t="s">
        <v>55</v>
      </c>
      <c r="K6" s="4">
        <v>8.0</v>
      </c>
      <c r="L6" s="4" t="s">
        <v>56</v>
      </c>
      <c r="M6" s="4" t="s">
        <v>57</v>
      </c>
      <c r="N6" s="4" t="s">
        <v>27</v>
      </c>
      <c r="O6" s="4" t="s">
        <v>58</v>
      </c>
      <c r="P6" s="4" t="s">
        <v>29</v>
      </c>
      <c r="Q6" s="4">
        <v>22.0</v>
      </c>
      <c r="R6" s="5" t="str">
        <f>IFERROR(__xludf.DUMMYFUNCTION("AI(""Summarize this description using 10 words"")"),"Rich glossy red polish for vibrant salon-quality nails at home.")</f>
        <v>Rich glossy red polish for vibrant salon-quality nails at home.</v>
      </c>
      <c r="S6" s="5" t="str">
        <f>IFERROR(__xludf.DUMMYFUNCTION("AI(""Translate column R in French"")"),"Vernis rouge riche et brillant pour des ongles éclatants de qualité salon à la maison.")</f>
        <v>Vernis rouge riche et brillant pour des ongles éclatants de qualité salon à la maison.</v>
      </c>
      <c r="T6" s="5" t="str">
        <f>IFERROR(__xludf.DUMMYFUNCTION("AI(""DO A SENTIMENT ANALYSIS FOR THIS TABLE"")"),"Negative")</f>
        <v>Negative</v>
      </c>
    </row>
    <row r="7" ht="22.5" customHeight="1">
      <c r="A7" s="4">
        <v>6.0</v>
      </c>
      <c r="B7" s="4" t="s">
        <v>59</v>
      </c>
      <c r="C7" s="4" t="s">
        <v>60</v>
      </c>
      <c r="D7" s="4" t="s">
        <v>61</v>
      </c>
      <c r="E7" s="4">
        <v>49.99</v>
      </c>
      <c r="F7" s="4">
        <v>1.89</v>
      </c>
      <c r="G7" s="4">
        <v>4.37</v>
      </c>
      <c r="H7" s="4">
        <v>29.0</v>
      </c>
      <c r="I7" s="4" t="s">
        <v>62</v>
      </c>
      <c r="J7" s="4" t="s">
        <v>63</v>
      </c>
      <c r="K7" s="4">
        <v>7.0</v>
      </c>
      <c r="L7" s="4" t="s">
        <v>25</v>
      </c>
      <c r="M7" s="4" t="s">
        <v>57</v>
      </c>
      <c r="N7" s="4" t="s">
        <v>27</v>
      </c>
      <c r="O7" s="4" t="s">
        <v>64</v>
      </c>
      <c r="P7" s="4" t="s">
        <v>65</v>
      </c>
      <c r="Q7" s="4">
        <v>9.0</v>
      </c>
      <c r="R7" s="5" t="str">
        <f>IFERROR(__xludf.DUMMYFUNCTION("AI(""Summarize this description using 10 words"")"),"Classic unisex fragrance known for its fresh, clean, everyday scent.")</f>
        <v>Classic unisex fragrance known for its fresh, clean, everyday scent.</v>
      </c>
      <c r="S7" s="5" t="str">
        <f>IFERROR(__xludf.DUMMYFUNCTION("AI(""Translate column R in French"")"),"Parfum unisexe classique connu pour son parfum frais, propre et quotidien.")</f>
        <v>Parfum unisexe classique connu pour son parfum frais, propre et quotidien.</v>
      </c>
      <c r="T7" s="5" t="str">
        <f>IFERROR(__xludf.DUMMYFUNCTION("AI(""DO A SENTIMENT ANALYSIS FOR THIS TABLE"")"),"Mixed")</f>
        <v>Mixed</v>
      </c>
    </row>
    <row r="8" ht="22.5" customHeight="1">
      <c r="A8" s="4">
        <v>7.0</v>
      </c>
      <c r="B8" s="4" t="s">
        <v>66</v>
      </c>
      <c r="C8" s="4" t="s">
        <v>67</v>
      </c>
      <c r="D8" s="4" t="s">
        <v>61</v>
      </c>
      <c r="E8" s="4">
        <v>129.99</v>
      </c>
      <c r="F8" s="4">
        <v>16.51</v>
      </c>
      <c r="G8" s="4">
        <v>4.26</v>
      </c>
      <c r="H8" s="4">
        <v>58.0</v>
      </c>
      <c r="I8" s="4" t="s">
        <v>62</v>
      </c>
      <c r="J8" s="4" t="s">
        <v>68</v>
      </c>
      <c r="K8" s="4">
        <v>7.0</v>
      </c>
      <c r="L8" s="4" t="s">
        <v>49</v>
      </c>
      <c r="M8" s="4" t="s">
        <v>57</v>
      </c>
      <c r="N8" s="4" t="s">
        <v>27</v>
      </c>
      <c r="O8" s="4" t="s">
        <v>69</v>
      </c>
      <c r="P8" s="4" t="s">
        <v>29</v>
      </c>
      <c r="Q8" s="4">
        <v>1.0</v>
      </c>
      <c r="R8" s="5" t="str">
        <f>IFERROR(__xludf.DUMMYFUNCTION("AI(""Summarize this description using 10 words"")"),"Elegant mysterious evening fragrance featuring grapefruit, rose, and sandalwood notes.")</f>
        <v>Elegant mysterious evening fragrance featuring grapefruit, rose, and sandalwood notes.</v>
      </c>
      <c r="S8" s="5" t="str">
        <f>IFERROR(__xludf.DUMMYFUNCTION("AI(""Translate column R in French"")"),"Parfum de soirée élégant et mystérieux aux notes de pamplemousse, de rose et de bois de santal.")</f>
        <v>Parfum de soirée élégant et mystérieux aux notes de pamplemousse, de rose et de bois de santal.</v>
      </c>
      <c r="T8" s="5" t="str">
        <f>IFERROR(__xludf.DUMMYFUNCTION("AI(""DO A SENTIMENT ANALYSIS FOR THIS TABLE"")"),"Positive")</f>
        <v>Positive</v>
      </c>
    </row>
    <row r="9" ht="22.5" customHeight="1">
      <c r="A9" s="4">
        <v>8.0</v>
      </c>
      <c r="B9" s="4" t="s">
        <v>70</v>
      </c>
      <c r="C9" s="4" t="s">
        <v>71</v>
      </c>
      <c r="D9" s="4" t="s">
        <v>61</v>
      </c>
      <c r="E9" s="4">
        <v>89.99</v>
      </c>
      <c r="F9" s="4">
        <v>14.72</v>
      </c>
      <c r="G9" s="4">
        <v>3.8</v>
      </c>
      <c r="H9" s="4">
        <v>98.0</v>
      </c>
      <c r="I9" s="4" t="s">
        <v>62</v>
      </c>
      <c r="J9" s="4" t="s">
        <v>72</v>
      </c>
      <c r="K9" s="4">
        <v>4.0</v>
      </c>
      <c r="L9" s="4" t="s">
        <v>25</v>
      </c>
      <c r="M9" s="4" t="s">
        <v>35</v>
      </c>
      <c r="N9" s="4" t="s">
        <v>27</v>
      </c>
      <c r="O9" s="4" t="s">
        <v>73</v>
      </c>
      <c r="P9" s="4" t="s">
        <v>37</v>
      </c>
      <c r="Q9" s="4">
        <v>10.0</v>
      </c>
      <c r="R9" s="5" t="str">
        <f>IFERROR(__xludf.DUMMYFUNCTION("AI(""Summarize this description using 10 words"")"),"Luxurious floral fragrance featuring ylang-ylang, rose, and jasmine for sophistication.")</f>
        <v>Luxurious floral fragrance featuring ylang-ylang, rose, and jasmine for sophistication.</v>
      </c>
      <c r="S9" s="5" t="str">
        <f>IFERROR(__xludf.DUMMYFUNCTION("AI(""Translate column R in French"")"),"Parfum floral luxueux aux notes d'ylang-ylang, de rose et de jasmin pour plus de sophistication.")</f>
        <v>Parfum floral luxueux aux notes d'ylang-ylang, de rose et de jasmin pour plus de sophistication.</v>
      </c>
      <c r="T9" s="5" t="str">
        <f>IFERROR(__xludf.DUMMYFUNCTION("AI(""DO A SENTIMENT ANALYSIS FOR THIS TABLE"")"),"Positive")</f>
        <v>Positive</v>
      </c>
    </row>
    <row r="10" ht="22.5" customHeight="1">
      <c r="A10" s="4">
        <v>9.0</v>
      </c>
      <c r="B10" s="4" t="s">
        <v>74</v>
      </c>
      <c r="C10" s="4" t="s">
        <v>75</v>
      </c>
      <c r="D10" s="4" t="s">
        <v>61</v>
      </c>
      <c r="E10" s="4">
        <v>69.99</v>
      </c>
      <c r="F10" s="4">
        <v>0.62</v>
      </c>
      <c r="G10" s="4">
        <v>3.96</v>
      </c>
      <c r="H10" s="4">
        <v>4.0</v>
      </c>
      <c r="I10" s="4" t="s">
        <v>62</v>
      </c>
      <c r="J10" s="4" t="s">
        <v>76</v>
      </c>
      <c r="K10" s="4">
        <v>6.0</v>
      </c>
      <c r="L10" s="4" t="s">
        <v>49</v>
      </c>
      <c r="M10" s="4" t="s">
        <v>77</v>
      </c>
      <c r="N10" s="4" t="s">
        <v>78</v>
      </c>
      <c r="O10" s="4" t="s">
        <v>79</v>
      </c>
      <c r="P10" s="4" t="s">
        <v>37</v>
      </c>
      <c r="Q10" s="4">
        <v>2.0</v>
      </c>
      <c r="R10" s="5" t="str">
        <f>IFERROR(__xludf.DUMMYFUNCTION("AI(""Summarize this description using 10 words"")"),"Vibrant fruity fragrance with mango and jasmine, joyful youthful scent.")</f>
        <v>Vibrant fruity fragrance with mango and jasmine, joyful youthful scent.</v>
      </c>
      <c r="S10" s="5" t="str">
        <f>IFERROR(__xludf.DUMMYFUNCTION("AI(""Translate column R in French"")"),"Parfum fruité et vibrant aux notes de mangue et de jasmin, senteur joyeuse et juvénile.")</f>
        <v>Parfum fruité et vibrant aux notes de mangue et de jasmin, senteur joyeuse et juvénile.</v>
      </c>
      <c r="T10" s="5" t="str">
        <f>IFERROR(__xludf.DUMMYFUNCTION("AI(""DO A SENTIMENT ANALYSIS FOR THIS TABLE"")"),"Positive")</f>
        <v>Positive</v>
      </c>
    </row>
    <row r="11" ht="22.5" customHeight="1">
      <c r="A11" s="4">
        <v>10.0</v>
      </c>
      <c r="B11" s="4" t="s">
        <v>80</v>
      </c>
      <c r="C11" s="4" t="s">
        <v>81</v>
      </c>
      <c r="D11" s="4" t="s">
        <v>61</v>
      </c>
      <c r="E11" s="4">
        <v>79.99</v>
      </c>
      <c r="F11" s="4">
        <v>14.39</v>
      </c>
      <c r="G11" s="4">
        <v>2.74</v>
      </c>
      <c r="H11" s="4">
        <v>91.0</v>
      </c>
      <c r="I11" s="4" t="s">
        <v>62</v>
      </c>
      <c r="J11" s="4" t="s">
        <v>82</v>
      </c>
      <c r="K11" s="4">
        <v>7.0</v>
      </c>
      <c r="L11" s="4" t="s">
        <v>83</v>
      </c>
      <c r="M11" s="4" t="s">
        <v>57</v>
      </c>
      <c r="N11" s="4" t="s">
        <v>27</v>
      </c>
      <c r="O11" s="4" t="s">
        <v>84</v>
      </c>
      <c r="P11" s="4" t="s">
        <v>29</v>
      </c>
      <c r="Q11" s="4">
        <v>2.0</v>
      </c>
      <c r="R11" s="5" t="str">
        <f>IFERROR(__xludf.DUMMYFUNCTION("AI(""Summarize this description using 10 words"")"),"Captivating floral fragrance with notes of tuberose, jasmine, and creeper.")</f>
        <v>Captivating floral fragrance with notes of tuberose, jasmine, and creeper.</v>
      </c>
      <c r="S11" s="5" t="str">
        <f>IFERROR(__xludf.DUMMYFUNCTION("AI(""Translate column R in French"")"),"Parfum floral captivant avec des notes de tubéreuse, de jasmin et de quiscualier d'Extrême-Orient.")</f>
        <v>Parfum floral captivant avec des notes de tubéreuse, de jasmin et de quiscualier d'Extrême-Orient.</v>
      </c>
      <c r="T11" s="5" t="str">
        <f>IFERROR(__xludf.DUMMYFUNCTION("AI(""DO A SENTIMENT ANALYSIS FOR THIS TABLE"")"),"Mixed")</f>
        <v>Mixed</v>
      </c>
    </row>
    <row r="12" ht="22.5" customHeight="1">
      <c r="A12" s="4">
        <v>11.0</v>
      </c>
      <c r="B12" s="4" t="s">
        <v>85</v>
      </c>
      <c r="C12" s="4" t="s">
        <v>86</v>
      </c>
      <c r="D12" s="4" t="s">
        <v>87</v>
      </c>
      <c r="E12" s="4">
        <v>1899.99</v>
      </c>
      <c r="F12" s="4">
        <v>8.57</v>
      </c>
      <c r="G12" s="4">
        <v>4.77</v>
      </c>
      <c r="H12" s="4">
        <v>88.0</v>
      </c>
      <c r="I12" s="4" t="s">
        <v>88</v>
      </c>
      <c r="J12" s="4" t="s">
        <v>89</v>
      </c>
      <c r="K12" s="4">
        <v>10.0</v>
      </c>
      <c r="L12" s="4" t="s">
        <v>34</v>
      </c>
      <c r="M12" s="4" t="s">
        <v>77</v>
      </c>
      <c r="N12" s="4" t="s">
        <v>27</v>
      </c>
      <c r="O12" s="4" t="s">
        <v>90</v>
      </c>
      <c r="P12" s="4" t="s">
        <v>29</v>
      </c>
      <c r="Q12" s="4">
        <v>1.0</v>
      </c>
      <c r="R12" s="5" t="str">
        <f>IFERROR(__xludf.DUMMYFUNCTION("AI(""Summarize this description using 10 words"")"),"Luxurious elegant bed frame crafted with quality materials for comfort.")</f>
        <v>Luxurious elegant bed frame crafted with quality materials for comfort.</v>
      </c>
      <c r="S12" s="5" t="str">
        <f>IFERROR(__xludf.DUMMYFUNCTION("AI(""Translate column R in French"")"),"Cadre de lit luxueux et élégant fabriqué avec des matériaux de qualité pour le confort.")</f>
        <v>Cadre de lit luxueux et élégant fabriqué avec des matériaux de qualité pour le confort.</v>
      </c>
      <c r="T12" s="5" t="str">
        <f>IFERROR(__xludf.DUMMYFUNCTION("AI(""DO A SENTIMENT ANALYSIS FOR THIS TABLE"")"),"Negative")</f>
        <v>Negative</v>
      </c>
    </row>
    <row r="13" ht="22.5" customHeight="1">
      <c r="A13" s="4">
        <v>12.0</v>
      </c>
      <c r="B13" s="4" t="s">
        <v>91</v>
      </c>
      <c r="C13" s="4" t="s">
        <v>92</v>
      </c>
      <c r="D13" s="4" t="s">
        <v>87</v>
      </c>
      <c r="E13" s="4">
        <v>2499.99</v>
      </c>
      <c r="F13" s="4">
        <v>14.4</v>
      </c>
      <c r="G13" s="4">
        <v>3.92</v>
      </c>
      <c r="H13" s="4">
        <v>60.0</v>
      </c>
      <c r="I13" s="4" t="s">
        <v>93</v>
      </c>
      <c r="J13" s="4" t="s">
        <v>89</v>
      </c>
      <c r="K13" s="4">
        <v>6.0</v>
      </c>
      <c r="L13" s="4" t="s">
        <v>94</v>
      </c>
      <c r="M13" s="4" t="s">
        <v>50</v>
      </c>
      <c r="N13" s="4" t="s">
        <v>27</v>
      </c>
      <c r="O13" s="4" t="s">
        <v>95</v>
      </c>
      <c r="P13" s="4" t="s">
        <v>37</v>
      </c>
      <c r="Q13" s="4">
        <v>1.0</v>
      </c>
      <c r="R13" s="5" t="str">
        <f>IFERROR(__xludf.DUMMYFUNCTION("AI(""Summarize this description using 10 words"")"),"Sophisticated and comfortable seating with exquisite design and premium upholstery.")</f>
        <v>Sophisticated and comfortable seating with exquisite design and premium upholstery.</v>
      </c>
      <c r="S13" s="5" t="str">
        <f>IFERROR(__xludf.DUMMYFUNCTION("AI(""Translate column R in French"")"),"Siège sophistiqué et confortable au design exquis et au revêtement haut de gamme.")</f>
        <v>Siège sophistiqué et confortable au design exquis et au revêtement haut de gamme.</v>
      </c>
      <c r="T13" s="5" t="str">
        <f>IFERROR(__xludf.DUMMYFUNCTION("AI(""DO A SENTIMENT ANALYSIS FOR THIS TABLE"")"),"Mixed")</f>
        <v>Mixed</v>
      </c>
    </row>
    <row r="14" ht="22.5" customHeight="1">
      <c r="A14" s="4">
        <v>13.0</v>
      </c>
      <c r="B14" s="4" t="s">
        <v>96</v>
      </c>
      <c r="C14" s="4" t="s">
        <v>97</v>
      </c>
      <c r="D14" s="4" t="s">
        <v>87</v>
      </c>
      <c r="E14" s="4">
        <v>299.99</v>
      </c>
      <c r="F14" s="4">
        <v>19.09</v>
      </c>
      <c r="G14" s="4">
        <v>2.87</v>
      </c>
      <c r="H14" s="4">
        <v>64.0</v>
      </c>
      <c r="I14" s="4" t="s">
        <v>98</v>
      </c>
      <c r="J14" s="4" t="s">
        <v>99</v>
      </c>
      <c r="K14" s="4">
        <v>2.0</v>
      </c>
      <c r="L14" s="4" t="s">
        <v>100</v>
      </c>
      <c r="M14" s="4" t="s">
        <v>57</v>
      </c>
      <c r="N14" s="4" t="s">
        <v>27</v>
      </c>
      <c r="O14" s="4" t="s">
        <v>101</v>
      </c>
      <c r="P14" s="4" t="s">
        <v>37</v>
      </c>
      <c r="Q14" s="4">
        <v>3.0</v>
      </c>
      <c r="R14" s="5" t="str">
        <f>IFERROR(__xludf.DUMMYFUNCTION("AI(""Summarize this description using 10 words"")"),"Stylish African Cherry bedside table providing functional storage and elegance.")</f>
        <v>Stylish African Cherry bedside table providing functional storage and elegance.</v>
      </c>
      <c r="S14" s="5" t="str">
        <f>IFERROR(__xludf.DUMMYFUNCTION("AI(""Translate column R in French"")"),"Table de chevet élégante en cerisier d'Afrique offrant un espace de rangement pratique et une touche d'élégance.")</f>
        <v>Table de chevet élégante en cerisier d'Afrique offrant un espace de rangement pratique et une touche d'élégance.</v>
      </c>
      <c r="T14" s="5" t="str">
        <f>IFERROR(__xludf.DUMMYFUNCTION("AI(""DO A SENTIMENT ANALYSIS FOR THIS TABLE"")"),"Mixed")</f>
        <v>Mixed</v>
      </c>
    </row>
    <row r="15" ht="22.5" customHeight="1">
      <c r="A15" s="4">
        <v>14.0</v>
      </c>
      <c r="B15" s="4" t="s">
        <v>102</v>
      </c>
      <c r="C15" s="4" t="s">
        <v>103</v>
      </c>
      <c r="D15" s="4" t="s">
        <v>87</v>
      </c>
      <c r="E15" s="4">
        <v>499.99</v>
      </c>
      <c r="F15" s="4">
        <v>2.01</v>
      </c>
      <c r="G15" s="4">
        <v>4.88</v>
      </c>
      <c r="H15" s="4">
        <v>26.0</v>
      </c>
      <c r="I15" s="4" t="s">
        <v>104</v>
      </c>
      <c r="J15" s="4" t="s">
        <v>105</v>
      </c>
      <c r="K15" s="4">
        <v>10.0</v>
      </c>
      <c r="L15" s="4" t="s">
        <v>106</v>
      </c>
      <c r="M15" s="4" t="s">
        <v>57</v>
      </c>
      <c r="N15" s="4" t="s">
        <v>27</v>
      </c>
      <c r="O15" s="4" t="s">
        <v>107</v>
      </c>
      <c r="P15" s="4" t="s">
        <v>108</v>
      </c>
      <c r="Q15" s="4">
        <v>5.0</v>
      </c>
      <c r="R15" s="5" t="str">
        <f>IFERROR(__xludf.DUMMYFUNCTION("AI(""Summarize this description using 10 words"")"),"Modern, ergonomic conference chair with a timeless and office-perfect design.")</f>
        <v>Modern, ergonomic conference chair with a timeless and office-perfect design.</v>
      </c>
      <c r="S15" s="5" t="str">
        <f>IFERROR(__xludf.DUMMYFUNCTION("AI(""Translate column R in French"")"),"Chaise de conférence de direction moderne et ergonomique au design intemporel, idéale pour votre bureau ou votre salle de réunion.")</f>
        <v>Chaise de conférence de direction moderne et ergonomique au design intemporel, idéale pour votre bureau ou votre salle de réunion.</v>
      </c>
      <c r="T15" s="5" t="str">
        <f>IFERROR(__xludf.DUMMYFUNCTION("AI(""DO A SENTIMENT ANALYSIS FOR THIS TABLE"")"),"Mixed")</f>
        <v>Mixed</v>
      </c>
    </row>
    <row r="16" ht="22.5" customHeight="1">
      <c r="A16" s="4">
        <v>15.0</v>
      </c>
      <c r="B16" s="4" t="s">
        <v>109</v>
      </c>
      <c r="C16" s="4" t="s">
        <v>110</v>
      </c>
      <c r="D16" s="4" t="s">
        <v>87</v>
      </c>
      <c r="E16" s="4">
        <v>799.99</v>
      </c>
      <c r="F16" s="4">
        <v>8.8</v>
      </c>
      <c r="G16" s="4">
        <v>3.59</v>
      </c>
      <c r="H16" s="4">
        <v>7.0</v>
      </c>
      <c r="I16" s="4" t="s">
        <v>111</v>
      </c>
      <c r="J16" s="4" t="s">
        <v>112</v>
      </c>
      <c r="K16" s="4">
        <v>10.0</v>
      </c>
      <c r="L16" s="4" t="s">
        <v>49</v>
      </c>
      <c r="M16" s="4" t="s">
        <v>26</v>
      </c>
      <c r="N16" s="4" t="s">
        <v>78</v>
      </c>
      <c r="O16" s="4" t="s">
        <v>113</v>
      </c>
      <c r="P16" s="4" t="s">
        <v>108</v>
      </c>
      <c r="Q16" s="4">
        <v>2.0</v>
      </c>
      <c r="R16" s="5" t="str">
        <f>IFERROR(__xludf.DUMMYFUNCTION("AI(""Summarize this description using 10 words"")"),"Unique, stylish wooden bathroom sink with matching mirror and countertop.")</f>
        <v>Unique, stylish wooden bathroom sink with matching mirror and countertop.</v>
      </c>
      <c r="S16" s="5" t="str">
        <f>IFERROR(__xludf.DUMMYFUNCTION("AI(""Translate column R in French"")"),"Lavabo de salle de bain en bois unique et élégant avec miroir et comptoir assortis.")</f>
        <v>Lavabo de salle de bain en bois unique et élégant avec miroir et comptoir assortis.</v>
      </c>
      <c r="T16" s="5" t="str">
        <f>IFERROR(__xludf.DUMMYFUNCTION("AI(""DO A SENTIMENT ANALYSIS FOR THIS TABLE"")"),"Mixed")</f>
        <v>Mixed</v>
      </c>
    </row>
    <row r="17" ht="22.5" customHeight="1">
      <c r="A17" s="4">
        <v>16.0</v>
      </c>
      <c r="B17" s="4" t="s">
        <v>114</v>
      </c>
      <c r="C17" s="4" t="s">
        <v>115</v>
      </c>
      <c r="D17" s="4" t="s">
        <v>116</v>
      </c>
      <c r="E17" s="4">
        <v>1.99</v>
      </c>
      <c r="F17" s="4">
        <v>12.62</v>
      </c>
      <c r="G17" s="4">
        <v>4.19</v>
      </c>
      <c r="H17" s="4">
        <v>8.0</v>
      </c>
      <c r="I17" s="4" t="s">
        <v>117</v>
      </c>
      <c r="K17" s="4">
        <v>9.0</v>
      </c>
      <c r="L17" s="4" t="s">
        <v>49</v>
      </c>
      <c r="M17" s="4" t="s">
        <v>35</v>
      </c>
      <c r="N17" s="4" t="s">
        <v>27</v>
      </c>
      <c r="O17" s="4" t="s">
        <v>118</v>
      </c>
      <c r="P17" s="4" t="s">
        <v>65</v>
      </c>
      <c r="Q17" s="4">
        <v>7.0</v>
      </c>
      <c r="R17" s="5" t="str">
        <f>IFERROR(__xludf.DUMMYFUNCTION("AI(""Summarize this description using 10 words"")"),"Fresh and crisp apples for snacking or using in recipes.")</f>
        <v>Fresh and crisp apples for snacking or using in recipes.</v>
      </c>
      <c r="S17" s="5" t="str">
        <f>IFERROR(__xludf.DUMMYFUNCTION("AI(""Translate column R in French"")"),"Pommes fraîches et croquantes, parfaites pour grignoter ou à intégrer dans diverses recettes.")</f>
        <v>Pommes fraîches et croquantes, parfaites pour grignoter ou à intégrer dans diverses recettes.</v>
      </c>
      <c r="T17" s="5" t="str">
        <f>IFERROR(__xludf.DUMMYFUNCTION("AI(""DO A SENTIMENT ANALYSIS FOR THIS TABLE"")"),"Mixed")</f>
        <v>Mixed</v>
      </c>
    </row>
    <row r="18" ht="22.5" customHeight="1">
      <c r="A18" s="4">
        <v>17.0</v>
      </c>
      <c r="B18" s="4" t="s">
        <v>119</v>
      </c>
      <c r="C18" s="4" t="s">
        <v>120</v>
      </c>
      <c r="D18" s="4" t="s">
        <v>116</v>
      </c>
      <c r="E18" s="4">
        <v>12.99</v>
      </c>
      <c r="F18" s="4">
        <v>9.61</v>
      </c>
      <c r="G18" s="4">
        <v>4.47</v>
      </c>
      <c r="H18" s="4">
        <v>86.0</v>
      </c>
      <c r="I18" s="4" t="s">
        <v>121</v>
      </c>
      <c r="K18" s="4">
        <v>10.0</v>
      </c>
      <c r="L18" s="4" t="s">
        <v>49</v>
      </c>
      <c r="M18" s="4" t="s">
        <v>57</v>
      </c>
      <c r="N18" s="4" t="s">
        <v>27</v>
      </c>
      <c r="O18" s="4" t="s">
        <v>122</v>
      </c>
      <c r="P18" s="4" t="s">
        <v>108</v>
      </c>
      <c r="Q18" s="4">
        <v>43.0</v>
      </c>
      <c r="R18" s="5" t="str">
        <f>IFERROR(__xludf.DUMMYFUNCTION("AI(""Summarize this description using 10 words"")"),"Premium beef steak ideal for grilling or cooking as desired.")</f>
        <v>Premium beef steak ideal for grilling or cooking as desired.</v>
      </c>
      <c r="S18" s="5" t="str">
        <f>IFERROR(__xludf.DUMMYFUNCTION("AI(""Translate column R in French"")"),"Steak de bœuf de qualité supérieure idéal pour les grillades ou la cuisson selon vos envies.")</f>
        <v>Steak de bœuf de qualité supérieure idéal pour les grillades ou la cuisson selon vos envies.</v>
      </c>
      <c r="T18" s="5" t="str">
        <f>IFERROR(__xludf.DUMMYFUNCTION("AI(""DO A SENTIMENT ANALYSIS FOR THIS TABLE"")"),"Mixed")</f>
        <v>Mixed</v>
      </c>
    </row>
    <row r="19" ht="22.5" customHeight="1">
      <c r="A19" s="4">
        <v>18.0</v>
      </c>
      <c r="B19" s="4" t="s">
        <v>123</v>
      </c>
      <c r="C19" s="4" t="s">
        <v>124</v>
      </c>
      <c r="D19" s="4" t="s">
        <v>116</v>
      </c>
      <c r="E19" s="4">
        <v>8.99</v>
      </c>
      <c r="F19" s="4">
        <v>9.58</v>
      </c>
      <c r="G19" s="4">
        <v>3.13</v>
      </c>
      <c r="H19" s="4">
        <v>46.0</v>
      </c>
      <c r="I19" s="4" t="s">
        <v>125</v>
      </c>
      <c r="K19" s="4">
        <v>10.0</v>
      </c>
      <c r="L19" s="4" t="s">
        <v>34</v>
      </c>
      <c r="M19" s="4" t="s">
        <v>57</v>
      </c>
      <c r="N19" s="4" t="s">
        <v>27</v>
      </c>
      <c r="O19" s="4" t="s">
        <v>126</v>
      </c>
      <c r="P19" s="4" t="s">
        <v>29</v>
      </c>
      <c r="Q19" s="4">
        <v>18.0</v>
      </c>
      <c r="R19" s="5" t="str">
        <f>IFERROR(__xludf.DUMMYFUNCTION("AI(""Summarize this description using 10 words"")"),"Nutritious cat food formulated for your feline friend's dietary needs.")</f>
        <v>Nutritious cat food formulated for your feline friend's dietary needs.</v>
      </c>
      <c r="S19" s="5" t="str">
        <f>IFERROR(__xludf.DUMMYFUNCTION("AI(""Translate column R in French"")"),"Nourriture nutritive pour chats formulée pour répondre aux besoins nutritionnels de votre compagnon félin.")</f>
        <v>Nourriture nutritive pour chats formulée pour répondre aux besoins nutritionnels de votre compagnon félin.</v>
      </c>
      <c r="T19" s="5" t="str">
        <f>IFERROR(__xludf.DUMMYFUNCTION("AI(""DO A SENTIMENT ANALYSIS FOR THIS TABLE"")"),"Negative")</f>
        <v>Negative</v>
      </c>
    </row>
    <row r="20" ht="22.5" customHeight="1">
      <c r="A20" s="4">
        <v>19.0</v>
      </c>
      <c r="B20" s="4" t="s">
        <v>127</v>
      </c>
      <c r="C20" s="4" t="s">
        <v>128</v>
      </c>
      <c r="D20" s="4" t="s">
        <v>116</v>
      </c>
      <c r="E20" s="4">
        <v>9.99</v>
      </c>
      <c r="F20" s="4">
        <v>13.7</v>
      </c>
      <c r="G20" s="4">
        <v>3.19</v>
      </c>
      <c r="H20" s="4">
        <v>97.0</v>
      </c>
      <c r="I20" s="4" t="s">
        <v>121</v>
      </c>
      <c r="K20" s="4">
        <v>1.0</v>
      </c>
      <c r="L20" s="4" t="s">
        <v>34</v>
      </c>
      <c r="M20" s="4" t="s">
        <v>77</v>
      </c>
      <c r="N20" s="4" t="s">
        <v>27</v>
      </c>
      <c r="O20" s="4" t="s">
        <v>129</v>
      </c>
      <c r="P20" s="4" t="s">
        <v>37</v>
      </c>
      <c r="Q20" s="4">
        <v>22.0</v>
      </c>
      <c r="R20" s="5" t="str">
        <f>IFERROR(__xludf.DUMMYFUNCTION("AI(""Summarize this description using 10 words"")"),"Fresh and tender chicken meat suitable for various culinary preparations.")</f>
        <v>Fresh and tender chicken meat suitable for various culinary preparations.</v>
      </c>
      <c r="S20" s="5" t="str">
        <f>IFERROR(__xludf.DUMMYFUNCTION("AI(""Translate column R in French"")"),"Viande de poulet fraîche et tendre adaptée à diverses préparations culinaires.")</f>
        <v>Viande de poulet fraîche et tendre adaptée à diverses préparations culinaires.</v>
      </c>
      <c r="T20" s="5" t="str">
        <f>IFERROR(__xludf.DUMMYFUNCTION("AI(""DO A SENTIMENT ANALYSIS FOR THIS TABLE"")"),"Positive")</f>
        <v>Positive</v>
      </c>
    </row>
    <row r="21" ht="22.5" customHeight="1">
      <c r="A21" s="4">
        <v>20.0</v>
      </c>
      <c r="B21" s="4" t="s">
        <v>130</v>
      </c>
      <c r="C21" s="4" t="s">
        <v>131</v>
      </c>
      <c r="D21" s="4" t="s">
        <v>116</v>
      </c>
      <c r="E21" s="4">
        <v>4.99</v>
      </c>
      <c r="F21" s="4">
        <v>9.33</v>
      </c>
      <c r="G21" s="4">
        <v>4.8</v>
      </c>
      <c r="H21" s="4">
        <v>10.0</v>
      </c>
      <c r="I21" s="4" t="s">
        <v>132</v>
      </c>
      <c r="K21" s="4">
        <v>5.0</v>
      </c>
      <c r="L21" s="4" t="s">
        <v>94</v>
      </c>
      <c r="M21" s="4" t="s">
        <v>43</v>
      </c>
      <c r="N21" s="4" t="s">
        <v>27</v>
      </c>
      <c r="O21" s="4" t="s">
        <v>133</v>
      </c>
      <c r="P21" s="4" t="s">
        <v>134</v>
      </c>
      <c r="Q21" s="4">
        <v>46.0</v>
      </c>
      <c r="R21" s="5" t="str">
        <f>IFERROR(__xludf.DUMMYFUNCTION("AI(""Summarize this description using 10 words"")"),"Versatile cooking oil for frying, sautéing, and various culinary applications.")</f>
        <v>Versatile cooking oil for frying, sautéing, and various culinary applications.</v>
      </c>
      <c r="S21" s="5" t="str">
        <f>IFERROR(__xludf.DUMMYFUNCTION("AI(""Translate column R in French"")"),"Huile de cuisson polyvalente pour la friture, le sautage et diverses applications culinaires.")</f>
        <v>Huile de cuisson polyvalente pour la friture, le sautage et diverses applications culinaires.</v>
      </c>
      <c r="T21" s="5" t="str">
        <f>IFERROR(__xludf.DUMMYFUNCTION("AI(""DO A SENTIMENT ANALYSIS FOR THIS TABLE"")"),"Positive")</f>
        <v>Positive</v>
      </c>
    </row>
    <row r="22" ht="22.5" customHeight="1">
      <c r="A22" s="4">
        <v>21.0</v>
      </c>
      <c r="B22" s="4" t="s">
        <v>135</v>
      </c>
      <c r="C22" s="4" t="s">
        <v>136</v>
      </c>
      <c r="D22" s="4" t="s">
        <v>116</v>
      </c>
      <c r="E22" s="4">
        <v>1.49</v>
      </c>
      <c r="F22" s="4">
        <v>0.16</v>
      </c>
      <c r="G22" s="4">
        <v>4.07</v>
      </c>
      <c r="H22" s="4">
        <v>84.0</v>
      </c>
      <c r="I22" s="4" t="s">
        <v>137</v>
      </c>
      <c r="K22" s="4">
        <v>4.0</v>
      </c>
      <c r="L22" s="4" t="s">
        <v>106</v>
      </c>
      <c r="M22" s="4" t="s">
        <v>43</v>
      </c>
      <c r="N22" s="4" t="s">
        <v>27</v>
      </c>
      <c r="O22" s="4" t="s">
        <v>138</v>
      </c>
      <c r="P22" s="4" t="s">
        <v>37</v>
      </c>
      <c r="Q22" s="4">
        <v>2.0</v>
      </c>
      <c r="R22" s="5" t="str">
        <f>IFERROR(__xludf.DUMMYFUNCTION("AI(""Summarize this description using 10 words"")"),"Crisp, hydrating cucumbers perfect for salads, snacks, or refreshing sides.")</f>
        <v>Crisp, hydrating cucumbers perfect for salads, snacks, or refreshing sides.</v>
      </c>
      <c r="S22" s="5" t="str">
        <f>IFERROR(__xludf.DUMMYFUNCTION("AI(""Translate column R in French"")"),"Concombres croquants et hydratants, parfaits pour les salades, les collations ou comme accompagnement rafraîchissant.")</f>
        <v>Concombres croquants et hydratants, parfaits pour les salades, les collations ou comme accompagnement rafraîchissant.</v>
      </c>
      <c r="T22" s="5" t="str">
        <f>IFERROR(__xludf.DUMMYFUNCTION("AI(""DO A SENTIMENT ANALYSIS FOR THIS TABLE"")"),"Mixed")</f>
        <v>Mixed</v>
      </c>
    </row>
    <row r="23" ht="22.5" customHeight="1">
      <c r="A23" s="4">
        <v>22.0</v>
      </c>
      <c r="B23" s="4" t="s">
        <v>139</v>
      </c>
      <c r="C23" s="4" t="s">
        <v>140</v>
      </c>
      <c r="D23" s="4" t="s">
        <v>116</v>
      </c>
      <c r="E23" s="4">
        <v>10.99</v>
      </c>
      <c r="F23" s="4">
        <v>10.27</v>
      </c>
      <c r="G23" s="4">
        <v>4.55</v>
      </c>
      <c r="H23" s="4">
        <v>71.0</v>
      </c>
      <c r="I23" s="4" t="s">
        <v>141</v>
      </c>
      <c r="K23" s="4">
        <v>10.0</v>
      </c>
      <c r="L23" s="4" t="s">
        <v>142</v>
      </c>
      <c r="M23" s="4" t="s">
        <v>43</v>
      </c>
      <c r="N23" s="4" t="s">
        <v>27</v>
      </c>
      <c r="O23" s="4" t="s">
        <v>143</v>
      </c>
      <c r="P23" s="4" t="s">
        <v>108</v>
      </c>
      <c r="Q23" s="4">
        <v>43.0</v>
      </c>
      <c r="R23" s="5" t="str">
        <f>IFERROR(__xludf.DUMMYFUNCTION("AI(""Summarize this description using 10 words"")"),"Nutritious dog food formulated with essential nutrients for your companion.")</f>
        <v>Nutritious dog food formulated with essential nutrients for your companion.</v>
      </c>
      <c r="S23" s="5" t="str">
        <f>IFERROR(__xludf.DUMMYFUNCTION("AI(""Translate column R in French"")"),"Nourriture nutritive pour chiens formulée avec des nutriments essentiels pour votre compagnon.")</f>
        <v>Nourriture nutritive pour chiens formulée avec des nutriments essentiels pour votre compagnon.</v>
      </c>
      <c r="T23" s="5" t="str">
        <f>IFERROR(__xludf.DUMMYFUNCTION("AI(""DO A SENTIMENT ANALYSIS FOR THIS TABLE"")"),"Positive")</f>
        <v>Positive</v>
      </c>
    </row>
    <row r="24" ht="22.5" customHeight="1">
      <c r="A24" s="4">
        <v>23.0</v>
      </c>
      <c r="B24" s="4" t="s">
        <v>144</v>
      </c>
      <c r="C24" s="4" t="s">
        <v>145</v>
      </c>
      <c r="D24" s="4" t="s">
        <v>116</v>
      </c>
      <c r="E24" s="4">
        <v>2.99</v>
      </c>
      <c r="F24" s="4">
        <v>11.05</v>
      </c>
      <c r="G24" s="4">
        <v>2.53</v>
      </c>
      <c r="H24" s="4">
        <v>9.0</v>
      </c>
      <c r="I24" s="4" t="s">
        <v>146</v>
      </c>
      <c r="K24" s="4">
        <v>2.0</v>
      </c>
      <c r="L24" s="4" t="s">
        <v>25</v>
      </c>
      <c r="M24" s="4" t="s">
        <v>50</v>
      </c>
      <c r="N24" s="4" t="s">
        <v>27</v>
      </c>
      <c r="O24" s="4" t="s">
        <v>147</v>
      </c>
      <c r="P24" s="4" t="s">
        <v>29</v>
      </c>
      <c r="Q24" s="4">
        <v>32.0</v>
      </c>
      <c r="R24" s="5" t="str">
        <f>IFERROR(__xludf.DUMMYFUNCTION("AI(""Summarize this description using 10 words"")"),"Fresh and versatile eggs for baking, cooking, or daily breakfast.")</f>
        <v>Fresh and versatile eggs for baking, cooking, or daily breakfast.</v>
      </c>
      <c r="S24" s="5" t="str">
        <f>IFERROR(__xludf.DUMMYFUNCTION("AI(""Translate column R in French"")"),"Oeufs frais, un ingrédient polyvalent pour la pâtisserie, la cuisine ou le petit-déjeuner.")</f>
        <v>Oeufs frais, un ingrédient polyvalent pour la pâtisserie, la cuisine ou le petit-déjeuner.</v>
      </c>
      <c r="T24" s="5" t="str">
        <f>IFERROR(__xludf.DUMMYFUNCTION("AI(""DO A SENTIMENT ANALYSIS FOR THIS TABLE"")"),"Mixed")</f>
        <v>Mixed</v>
      </c>
    </row>
    <row r="25" ht="22.5" customHeight="1">
      <c r="A25" s="4">
        <v>24.0</v>
      </c>
      <c r="B25" s="4" t="s">
        <v>148</v>
      </c>
      <c r="C25" s="4" t="s">
        <v>149</v>
      </c>
      <c r="D25" s="4" t="s">
        <v>116</v>
      </c>
      <c r="E25" s="4">
        <v>14.99</v>
      </c>
      <c r="F25" s="4">
        <v>4.23</v>
      </c>
      <c r="G25" s="4">
        <v>3.78</v>
      </c>
      <c r="H25" s="4">
        <v>74.0</v>
      </c>
      <c r="I25" s="4" t="s">
        <v>150</v>
      </c>
      <c r="K25" s="4">
        <v>6.0</v>
      </c>
      <c r="L25" s="4" t="s">
        <v>56</v>
      </c>
      <c r="M25" s="4" t="s">
        <v>26</v>
      </c>
      <c r="N25" s="4" t="s">
        <v>27</v>
      </c>
      <c r="O25" s="4" t="s">
        <v>151</v>
      </c>
      <c r="P25" s="4" t="s">
        <v>108</v>
      </c>
      <c r="Q25" s="4">
        <v>50.0</v>
      </c>
      <c r="R25" s="5" t="str">
        <f>IFERROR(__xludf.DUMMYFUNCTION("AI(""Summarize this description using 10 words"")"),"Quality fish steak suitable for grilling, baking, or pan-searing recipes.")</f>
        <v>Quality fish steak suitable for grilling, baking, or pan-searing recipes.</v>
      </c>
      <c r="S25" s="5" t="str">
        <f>IFERROR(__xludf.DUMMYFUNCTION("AI(""Translate column R in French"")"),"Tranche de poisson de qualité, adaptée aux grillades, à la cuisson au four ou à la poêle.")</f>
        <v>Tranche de poisson de qualité, adaptée aux grillades, à la cuisson au four ou à la poêle.</v>
      </c>
      <c r="T25" s="5" t="str">
        <f>IFERROR(__xludf.DUMMYFUNCTION("AI(""DO A SENTIMENT ANALYSIS FOR THIS TABLE"")"),"Mixed")</f>
        <v>Mixed</v>
      </c>
    </row>
    <row r="26" ht="22.5" customHeight="1">
      <c r="A26" s="4">
        <v>25.0</v>
      </c>
      <c r="B26" s="4" t="s">
        <v>152</v>
      </c>
      <c r="C26" s="4" t="s">
        <v>153</v>
      </c>
      <c r="D26" s="4" t="s">
        <v>116</v>
      </c>
      <c r="E26" s="4">
        <v>1.29</v>
      </c>
      <c r="F26" s="4">
        <v>0.16</v>
      </c>
      <c r="G26" s="4">
        <v>3.25</v>
      </c>
      <c r="H26" s="4">
        <v>33.0</v>
      </c>
      <c r="I26" s="4" t="s">
        <v>137</v>
      </c>
      <c r="K26" s="4">
        <v>2.0</v>
      </c>
      <c r="L26" s="4" t="s">
        <v>56</v>
      </c>
      <c r="M26" s="4" t="s">
        <v>50</v>
      </c>
      <c r="N26" s="4" t="s">
        <v>27</v>
      </c>
      <c r="O26" s="4" t="s">
        <v>154</v>
      </c>
      <c r="P26" s="4" t="s">
        <v>134</v>
      </c>
      <c r="Q26" s="4">
        <v>12.0</v>
      </c>
      <c r="R26" s="5" t="str">
        <f>IFERROR(__xludf.DUMMYFUNCTION("AI(""Summarize this description using 10 words"")"),"Vibrant green bell pepper adds fresh color and flavor to dishes.")</f>
        <v>Vibrant green bell pepper adds fresh color and flavor to dishes.</v>
      </c>
      <c r="S26" s="5" t="str">
        <f>IFERROR(__xludf.DUMMYFUNCTION("AI(""Translate column R in French"")"),"Poivron vert frais et vibrant, parfait pour ajouter de la couleur et de la saveur à vos plats.")</f>
        <v>Poivron vert frais et vibrant, parfait pour ajouter de la couleur et de la saveur à vos plats.</v>
      </c>
      <c r="T26" s="5" t="str">
        <f>IFERROR(__xludf.DUMMYFUNCTION("AI(""DO A SENTIMENT ANALYSIS FOR THIS TABLE"")"),"Positive")</f>
        <v>Positive</v>
      </c>
    </row>
    <row r="27" ht="22.5" customHeight="1">
      <c r="A27" s="4">
        <v>26.0</v>
      </c>
      <c r="B27" s="4" t="s">
        <v>155</v>
      </c>
      <c r="C27" s="4" t="s">
        <v>156</v>
      </c>
      <c r="D27" s="4" t="s">
        <v>116</v>
      </c>
      <c r="E27" s="4">
        <v>0.99</v>
      </c>
      <c r="F27" s="4">
        <v>1.0</v>
      </c>
      <c r="G27" s="4">
        <v>3.66</v>
      </c>
      <c r="H27" s="4">
        <v>3.0</v>
      </c>
      <c r="I27" s="4" t="s">
        <v>137</v>
      </c>
      <c r="K27" s="4">
        <v>7.0</v>
      </c>
      <c r="L27" s="4" t="s">
        <v>106</v>
      </c>
      <c r="M27" s="4" t="s">
        <v>50</v>
      </c>
      <c r="N27" s="4" t="s">
        <v>78</v>
      </c>
      <c r="O27" s="4" t="s">
        <v>157</v>
      </c>
      <c r="P27" s="4" t="s">
        <v>134</v>
      </c>
      <c r="Q27" s="4">
        <v>39.0</v>
      </c>
      <c r="R27" s="5" t="str">
        <f>IFERROR(__xludf.DUMMYFUNCTION("AI(""Summarize this description using 10 words"")"),"Spicy green chili pepper ideal for adding heat to recipes.")</f>
        <v>Spicy green chili pepper ideal for adding heat to recipes.</v>
      </c>
      <c r="S27" s="5" t="str">
        <f>IFERROR(__xludf.DUMMYFUNCTION("AI(""Translate column R in French"")"),"Piment vert épicé, idéal pour relever vos recettes préférées.")</f>
        <v>Piment vert épicé, idéal pour relever vos recettes préférées.</v>
      </c>
      <c r="T27" s="5" t="str">
        <f>IFERROR(__xludf.DUMMYFUNCTION("AI(""DO A SENTIMENT ANALYSIS FOR THIS TABLE"")"),"Mixed")</f>
        <v>Mixed</v>
      </c>
    </row>
    <row r="28" ht="22.5" customHeight="1">
      <c r="A28" s="4">
        <v>27.0</v>
      </c>
      <c r="B28" s="4" t="s">
        <v>158</v>
      </c>
      <c r="C28" s="4" t="s">
        <v>159</v>
      </c>
      <c r="D28" s="4" t="s">
        <v>116</v>
      </c>
      <c r="E28" s="4">
        <v>6.99</v>
      </c>
      <c r="F28" s="4">
        <v>14.4</v>
      </c>
      <c r="G28" s="4">
        <v>3.97</v>
      </c>
      <c r="H28" s="4">
        <v>34.0</v>
      </c>
      <c r="I28" s="4" t="s">
        <v>160</v>
      </c>
      <c r="K28" s="4">
        <v>2.0</v>
      </c>
      <c r="L28" s="4" t="s">
        <v>56</v>
      </c>
      <c r="M28" s="4" t="s">
        <v>43</v>
      </c>
      <c r="N28" s="4" t="s">
        <v>27</v>
      </c>
      <c r="O28" s="4" t="s">
        <v>161</v>
      </c>
      <c r="P28" s="4" t="s">
        <v>65</v>
      </c>
      <c r="Q28" s="4">
        <v>47.0</v>
      </c>
      <c r="R28" s="5" t="str">
        <f>IFERROR(__xludf.DUMMYFUNCTION("AI(""Summarize this description using 10 words"")"),"Pure and natural honey in a jar for sweetening food.")</f>
        <v>Pure and natural honey in a jar for sweetening food.</v>
      </c>
      <c r="S28" s="5" t="str">
        <f>IFERROR(__xludf.DUMMYFUNCTION("AI(""Translate column R in French"")"),"Pot de miel pur et naturel, parfait pour sucrer les boissons ou à verser sur les aliments.")</f>
        <v>Pot de miel pur et naturel, parfait pour sucrer les boissons ou à verser sur les aliments.</v>
      </c>
      <c r="T28" s="5" t="str">
        <f>IFERROR(__xludf.DUMMYFUNCTION("AI(""DO A SENTIMENT ANALYSIS FOR THIS TABLE"")"),"Mixed")</f>
        <v>Mixed</v>
      </c>
    </row>
    <row r="29" ht="22.5" customHeight="1">
      <c r="A29" s="4">
        <v>28.0</v>
      </c>
      <c r="B29" s="4" t="s">
        <v>162</v>
      </c>
      <c r="C29" s="4" t="s">
        <v>163</v>
      </c>
      <c r="D29" s="4" t="s">
        <v>116</v>
      </c>
      <c r="E29" s="4">
        <v>5.49</v>
      </c>
      <c r="F29" s="4">
        <v>8.69</v>
      </c>
      <c r="G29" s="4">
        <v>3.39</v>
      </c>
      <c r="H29" s="4">
        <v>27.0</v>
      </c>
      <c r="I29" s="4" t="s">
        <v>164</v>
      </c>
      <c r="K29" s="4">
        <v>1.0</v>
      </c>
      <c r="L29" s="4" t="s">
        <v>56</v>
      </c>
      <c r="M29" s="4" t="s">
        <v>35</v>
      </c>
      <c r="N29" s="4" t="s">
        <v>27</v>
      </c>
      <c r="O29" s="4" t="s">
        <v>165</v>
      </c>
      <c r="P29" s="4" t="s">
        <v>29</v>
      </c>
      <c r="Q29" s="4">
        <v>42.0</v>
      </c>
      <c r="R29" s="5" t="str">
        <f>IFERROR(__xludf.DUMMYFUNCTION("AI(""Summarize this description using 10 words"")"),"Creamy, delicious ice cream in various flavors for a treat.")</f>
        <v>Creamy, delicious ice cream in various flavors for a treat.</v>
      </c>
      <c r="S29" s="5" t="str">
        <f>IFERROR(__xludf.DUMMYFUNCTION("AI(""Translate column R in French"")"),"Crème glacée crémeuse et délicieuse, disponible en plusieurs saveurs pour un régal.")</f>
        <v>Crème glacée crémeuse et délicieuse, disponible en plusieurs saveurs pour un régal.</v>
      </c>
      <c r="T29" s="5" t="str">
        <f>IFERROR(__xludf.DUMMYFUNCTION("AI(""DO A SENTIMENT ANALYSIS FOR THIS TABLE"")"),"Positive")</f>
        <v>Positive</v>
      </c>
    </row>
    <row r="30" ht="22.5" customHeight="1">
      <c r="A30" s="4">
        <v>29.0</v>
      </c>
      <c r="B30" s="4" t="s">
        <v>166</v>
      </c>
      <c r="C30" s="4" t="s">
        <v>167</v>
      </c>
      <c r="D30" s="4" t="s">
        <v>116</v>
      </c>
      <c r="E30" s="4">
        <v>3.99</v>
      </c>
      <c r="F30" s="4">
        <v>12.06</v>
      </c>
      <c r="G30" s="4">
        <v>3.94</v>
      </c>
      <c r="H30" s="4">
        <v>50.0</v>
      </c>
      <c r="I30" s="4" t="s">
        <v>168</v>
      </c>
      <c r="K30" s="4">
        <v>1.0</v>
      </c>
      <c r="L30" s="4" t="s">
        <v>83</v>
      </c>
      <c r="M30" s="4" t="s">
        <v>50</v>
      </c>
      <c r="N30" s="4" t="s">
        <v>27</v>
      </c>
      <c r="O30" s="4" t="s">
        <v>169</v>
      </c>
      <c r="P30" s="4" t="s">
        <v>29</v>
      </c>
      <c r="Q30" s="4">
        <v>25.0</v>
      </c>
      <c r="R30" s="5" t="str">
        <f>IFERROR(__xludf.DUMMYFUNCTION("AI(""Summarize this description using 10 words"")"),"Refreshing vitamin-packed fruit juice perfect for staying healthy and hydrated.")</f>
        <v>Refreshing vitamin-packed fruit juice perfect for staying healthy and hydrated.</v>
      </c>
      <c r="S30" s="5" t="str">
        <f>IFERROR(__xludf.DUMMYFUNCTION("AI(""Translate column R in French"")"),"Jus de fruits rafraîchissant, riche en vitamines et idéal pour rester hydraté.")</f>
        <v>Jus de fruits rafraîchissant, riche en vitamines et idéal pour rester hydraté.</v>
      </c>
      <c r="T30" s="5" t="str">
        <f>IFERROR(__xludf.DUMMYFUNCTION("AI(""DO A SENTIMENT ANALYSIS FOR THIS TABLE"")"),"Positive")</f>
        <v>Positive</v>
      </c>
    </row>
    <row r="31" ht="22.5" customHeight="1">
      <c r="A31" s="4">
        <v>30.0</v>
      </c>
      <c r="B31" s="4" t="s">
        <v>170</v>
      </c>
      <c r="C31" s="4" t="s">
        <v>171</v>
      </c>
      <c r="D31" s="4" t="s">
        <v>116</v>
      </c>
      <c r="E31" s="4">
        <v>2.49</v>
      </c>
      <c r="F31" s="4">
        <v>15.22</v>
      </c>
      <c r="G31" s="4">
        <v>4.93</v>
      </c>
      <c r="H31" s="4">
        <v>99.0</v>
      </c>
      <c r="I31" s="4" t="s">
        <v>117</v>
      </c>
      <c r="K31" s="4">
        <v>5.0</v>
      </c>
      <c r="L31" s="4" t="s">
        <v>83</v>
      </c>
      <c r="M31" s="4" t="s">
        <v>57</v>
      </c>
      <c r="N31" s="4" t="s">
        <v>27</v>
      </c>
      <c r="O31" s="4" t="s">
        <v>172</v>
      </c>
      <c r="P31" s="4" t="s">
        <v>37</v>
      </c>
      <c r="Q31" s="4">
        <v>30.0</v>
      </c>
      <c r="R31" s="5" t="str">
        <f>IFERROR(__xludf.DUMMYFUNCTION("AI(""Summarize this description using 10 words"")"),"Nutrient-rich kiwi is perfect for snacking or a tropical twist.")</f>
        <v>Nutrient-rich kiwi is perfect for snacking or a tropical twist.</v>
      </c>
      <c r="S31" s="5" t="str">
        <f>IFERROR(__xludf.DUMMYFUNCTION("AI(""Translate column R in French"")"),"Le kiwi riche en nutriments est parfait pour les collations ou une touche tropicale.")</f>
        <v>Le kiwi riche en nutriments est parfait pour les collations ou une touche tropicale.</v>
      </c>
      <c r="T31" s="5" t="str">
        <f>IFERROR(__xludf.DUMMYFUNCTION("AI(""DO A SENTIMENT ANALYSIS FOR THIS TABLE"")"),"Mixed")</f>
        <v>Mixed</v>
      </c>
    </row>
    <row r="32" ht="22.5" customHeight="1">
      <c r="A32" s="4">
        <v>31.0</v>
      </c>
      <c r="B32" s="4" t="s">
        <v>173</v>
      </c>
      <c r="C32" s="4" t="s">
        <v>174</v>
      </c>
      <c r="D32" s="4" t="s">
        <v>116</v>
      </c>
      <c r="E32" s="4">
        <v>0.79</v>
      </c>
      <c r="F32" s="4">
        <v>9.7</v>
      </c>
      <c r="G32" s="4">
        <v>3.53</v>
      </c>
      <c r="H32" s="4">
        <v>31.0</v>
      </c>
      <c r="I32" s="4" t="s">
        <v>117</v>
      </c>
      <c r="K32" s="4">
        <v>3.0</v>
      </c>
      <c r="L32" s="4" t="s">
        <v>142</v>
      </c>
      <c r="M32" s="4" t="s">
        <v>77</v>
      </c>
      <c r="N32" s="4" t="s">
        <v>27</v>
      </c>
      <c r="O32" s="4" t="s">
        <v>175</v>
      </c>
      <c r="P32" s="4" t="s">
        <v>37</v>
      </c>
      <c r="Q32" s="4">
        <v>29.0</v>
      </c>
      <c r="R32" s="5" t="str">
        <f>IFERROR(__xludf.DUMMYFUNCTION("AI(""Summarize this description using 10 words"")"),"Versatile zesty lemons perfect for cooking, baking, or refreshing drinks.")</f>
        <v>Versatile zesty lemons perfect for cooking, baking, or refreshing drinks.</v>
      </c>
      <c r="S32" s="5" t="str">
        <f>IFERROR(__xludf.DUMMYFUNCTION("AI(""Translate column R in French"")"),"Citrons zestés et acidulés polyvalents, parfaits pour la cuisine, la pâtisserie ou les boissons rafraîchissantes.")</f>
        <v>Citrons zestés et acidulés polyvalents, parfaits pour la cuisine, la pâtisserie ou les boissons rafraîchissantes.</v>
      </c>
      <c r="T32" s="5" t="str">
        <f>IFERROR(__xludf.DUMMYFUNCTION("AI(""DO A SENTIMENT ANALYSIS FOR THIS TABLE"")"),"Positive")</f>
        <v>Positive</v>
      </c>
    </row>
    <row r="33" ht="22.5" customHeight="1">
      <c r="A33" s="4">
        <v>32.0</v>
      </c>
      <c r="B33" s="4" t="s">
        <v>176</v>
      </c>
      <c r="C33" s="4" t="s">
        <v>177</v>
      </c>
      <c r="D33" s="4" t="s">
        <v>116</v>
      </c>
      <c r="E33" s="4">
        <v>3.49</v>
      </c>
      <c r="F33" s="4">
        <v>13.74</v>
      </c>
      <c r="G33" s="4">
        <v>2.61</v>
      </c>
      <c r="H33" s="4">
        <v>27.0</v>
      </c>
      <c r="I33" s="4" t="s">
        <v>146</v>
      </c>
      <c r="K33" s="4">
        <v>5.0</v>
      </c>
      <c r="L33" s="4" t="s">
        <v>49</v>
      </c>
      <c r="M33" s="4" t="s">
        <v>35</v>
      </c>
      <c r="N33" s="4" t="s">
        <v>27</v>
      </c>
      <c r="O33" s="4" t="s">
        <v>178</v>
      </c>
      <c r="P33" s="4" t="s">
        <v>37</v>
      </c>
      <c r="Q33" s="4">
        <v>5.0</v>
      </c>
      <c r="R33" s="5" t="str">
        <f>IFERROR(__xludf.DUMMYFUNCTION("AI(""Summarize this description using 10 words"")"),"Fresh and nutritious milk, a staple for recipes and consumption.")</f>
        <v>Fresh and nutritious milk, a staple for recipes and consumption.</v>
      </c>
      <c r="S33" s="5" t="str">
        <f>IFERROR(__xludf.DUMMYFUNCTION("AI(""Translate column R in French"")"),"Lait frais et nutritif, un aliment de base pour les recettes et la consommation.")</f>
        <v>Lait frais et nutritif, un aliment de base pour les recettes et la consommation.</v>
      </c>
      <c r="T33" s="5" t="str">
        <f>IFERROR(__xludf.DUMMYFUNCTION("AI(""DO A SENTIMENT ANALYSIS FOR THIS TABLE"")"),"Positive")</f>
        <v>Positive</v>
      </c>
    </row>
    <row r="34" ht="22.5" customHeight="1">
      <c r="A34" s="4">
        <v>33.0</v>
      </c>
      <c r="B34" s="4" t="s">
        <v>179</v>
      </c>
      <c r="C34" s="4" t="s">
        <v>180</v>
      </c>
      <c r="D34" s="4" t="s">
        <v>116</v>
      </c>
      <c r="E34" s="4">
        <v>4.99</v>
      </c>
      <c r="F34" s="4">
        <v>12.87</v>
      </c>
      <c r="G34" s="4">
        <v>4.95</v>
      </c>
      <c r="H34" s="4">
        <v>99.0</v>
      </c>
      <c r="I34" s="4" t="s">
        <v>117</v>
      </c>
      <c r="K34" s="4">
        <v>5.0</v>
      </c>
      <c r="L34" s="4" t="s">
        <v>106</v>
      </c>
      <c r="M34" s="4" t="s">
        <v>50</v>
      </c>
      <c r="N34" s="4" t="s">
        <v>27</v>
      </c>
      <c r="O34" s="4" t="s">
        <v>181</v>
      </c>
      <c r="P34" s="4" t="s">
        <v>29</v>
      </c>
      <c r="Q34" s="4">
        <v>43.0</v>
      </c>
      <c r="R34" s="5" t="str">
        <f>IFERROR(__xludf.DUMMYFUNCTION("AI(""Summarize this description using 10 words"")"),"Sweet and juicy mulberries perfect for snacking, desserts, or cereals.")</f>
        <v>Sweet and juicy mulberries perfect for snacking, desserts, or cereals.</v>
      </c>
      <c r="S34" s="5" t="str">
        <f>IFERROR(__xludf.DUMMYFUNCTION("AI(""Translate column R in French"")"),"Mûres douces et juteuses, parfaites pour le grignotage, les desserts ou les céréales.")</f>
        <v>Mûres douces et juteuses, parfaites pour le grignotage, les desserts ou les céréales.</v>
      </c>
      <c r="T34" s="5" t="str">
        <f>IFERROR(__xludf.DUMMYFUNCTION("AI(""DO A SENTIMENT ANALYSIS FOR THIS TABLE"")"),"Mixed")</f>
        <v>Mixed</v>
      </c>
    </row>
    <row r="35" ht="22.5" customHeight="1">
      <c r="A35" s="4">
        <v>34.0</v>
      </c>
      <c r="B35" s="4" t="s">
        <v>182</v>
      </c>
      <c r="C35" s="4" t="s">
        <v>183</v>
      </c>
      <c r="D35" s="4" t="s">
        <v>116</v>
      </c>
      <c r="E35" s="4">
        <v>7.99</v>
      </c>
      <c r="F35" s="4">
        <v>1.59</v>
      </c>
      <c r="G35" s="4">
        <v>4.82</v>
      </c>
      <c r="H35" s="4">
        <v>57.0</v>
      </c>
      <c r="I35" s="4" t="s">
        <v>184</v>
      </c>
      <c r="K35" s="4">
        <v>6.0</v>
      </c>
      <c r="L35" s="4" t="s">
        <v>34</v>
      </c>
      <c r="M35" s="4" t="s">
        <v>43</v>
      </c>
      <c r="N35" s="4" t="s">
        <v>27</v>
      </c>
      <c r="O35" s="4" t="s">
        <v>185</v>
      </c>
      <c r="P35" s="4" t="s">
        <v>134</v>
      </c>
      <c r="Q35" s="4">
        <v>8.0</v>
      </c>
      <c r="R35" s="5" t="str">
        <f>IFERROR(__xludf.DUMMYFUNCTION("AI(""Summarize this description using 10 words"")"),"Quality Nescafe coffee in various blends for a satisfying cup.")</f>
        <v>Quality Nescafe coffee in various blends for a satisfying cup.</v>
      </c>
      <c r="S35" s="5" t="str">
        <f>IFERROR(__xludf.DUMMYFUNCTION("AI(""Translate column R in French"")"),"Café Nescafe de qualité en divers mélanges pour une tasse satisfaisante.")</f>
        <v>Café Nescafe de qualité en divers mélanges pour une tasse satisfaisante.</v>
      </c>
      <c r="T35" s="5" t="str">
        <f>IFERROR(__xludf.DUMMYFUNCTION("AI(""DO A SENTIMENT ANALYSIS FOR THIS TABLE"")"),"Positive")</f>
        <v>Positive</v>
      </c>
    </row>
    <row r="36" ht="22.5" customHeight="1">
      <c r="A36" s="4">
        <v>35.0</v>
      </c>
      <c r="B36" s="4" t="s">
        <v>186</v>
      </c>
      <c r="C36" s="4" t="s">
        <v>187</v>
      </c>
      <c r="D36" s="4" t="s">
        <v>116</v>
      </c>
      <c r="E36" s="4">
        <v>2.29</v>
      </c>
      <c r="F36" s="4">
        <v>5.38</v>
      </c>
      <c r="G36" s="4">
        <v>4.81</v>
      </c>
      <c r="H36" s="4">
        <v>13.0</v>
      </c>
      <c r="I36" s="4" t="s">
        <v>137</v>
      </c>
      <c r="K36" s="4">
        <v>9.0</v>
      </c>
      <c r="L36" s="4" t="s">
        <v>49</v>
      </c>
      <c r="M36" s="4" t="s">
        <v>26</v>
      </c>
      <c r="N36" s="4" t="s">
        <v>27</v>
      </c>
      <c r="O36" s="4" t="s">
        <v>188</v>
      </c>
      <c r="P36" s="4" t="s">
        <v>65</v>
      </c>
      <c r="Q36" s="4">
        <v>9.0</v>
      </c>
      <c r="R36" s="5" t="str">
        <f>IFERROR(__xludf.DUMMYFUNCTION("AI(""Summarize this description using 10 words"")"),"Versatile starchy potatoes, great for roasting, mashing, or side dishes.")</f>
        <v>Versatile starchy potatoes, great for roasting, mashing, or side dishes.</v>
      </c>
      <c r="S36" s="5" t="str">
        <f>IFERROR(__xludf.DUMMYFUNCTION("AI(""Translate column R in French"")"),"Pommes de terre féculentes polyvalentes, idéales pour le rôtissage, la purée ou comme accompagnement.")</f>
        <v>Pommes de terre féculentes polyvalentes, idéales pour le rôtissage, la purée ou comme accompagnement.</v>
      </c>
      <c r="T36" s="5" t="str">
        <f>IFERROR(__xludf.DUMMYFUNCTION("AI(""DO A SENTIMENT ANALYSIS FOR THIS TABLE"")"),"Positive")</f>
        <v>Positive</v>
      </c>
    </row>
    <row r="37" ht="22.5" customHeight="1">
      <c r="A37" s="4">
        <v>36.0</v>
      </c>
      <c r="B37" s="4" t="s">
        <v>189</v>
      </c>
      <c r="C37" s="4" t="s">
        <v>190</v>
      </c>
      <c r="D37" s="4" t="s">
        <v>116</v>
      </c>
      <c r="E37" s="4">
        <v>19.99</v>
      </c>
      <c r="F37" s="4">
        <v>7.59</v>
      </c>
      <c r="G37" s="4">
        <v>4.18</v>
      </c>
      <c r="H37" s="4">
        <v>80.0</v>
      </c>
      <c r="I37" s="4" t="s">
        <v>191</v>
      </c>
      <c r="K37" s="4">
        <v>9.0</v>
      </c>
      <c r="L37" s="4" t="s">
        <v>25</v>
      </c>
      <c r="M37" s="4" t="s">
        <v>77</v>
      </c>
      <c r="N37" s="4" t="s">
        <v>27</v>
      </c>
      <c r="O37" s="4" t="s">
        <v>192</v>
      </c>
      <c r="P37" s="4" t="s">
        <v>29</v>
      </c>
      <c r="Q37" s="4">
        <v>6.0</v>
      </c>
      <c r="R37" s="5" t="str">
        <f>IFERROR(__xludf.DUMMYFUNCTION("AI(""Summarize this description using 10 words"")"),"Nutrient-packed protein powder ideal for supplementing diet with essential proteins.")</f>
        <v>Nutrient-packed protein powder ideal for supplementing diet with essential proteins.</v>
      </c>
      <c r="S37" s="5" t="str">
        <f>IFERROR(__xludf.DUMMYFUNCTION("AI(""Translate column R in French"")"),"Poudre de protéines riche en nutriments, idéale pour compléter l'alimentation avec des protéines essentielles.")</f>
        <v>Poudre de protéines riche en nutriments, idéale pour compléter l'alimentation avec des protéines essentielles.</v>
      </c>
      <c r="T37" s="5" t="str">
        <f>IFERROR(__xludf.DUMMYFUNCTION("AI(""DO A SENTIMENT ANALYSIS FOR THIS TABLE"")"),"Positive")</f>
        <v>Positive</v>
      </c>
    </row>
    <row r="38" ht="22.5" customHeight="1">
      <c r="A38" s="4">
        <v>37.0</v>
      </c>
      <c r="B38" s="4" t="s">
        <v>193</v>
      </c>
      <c r="C38" s="4" t="s">
        <v>194</v>
      </c>
      <c r="D38" s="4" t="s">
        <v>116</v>
      </c>
      <c r="E38" s="4">
        <v>1.99</v>
      </c>
      <c r="F38" s="4">
        <v>9.9</v>
      </c>
      <c r="G38" s="4">
        <v>4.2</v>
      </c>
      <c r="H38" s="4">
        <v>82.0</v>
      </c>
      <c r="I38" s="4" t="s">
        <v>137</v>
      </c>
      <c r="K38" s="4">
        <v>9.0</v>
      </c>
      <c r="L38" s="4" t="s">
        <v>56</v>
      </c>
      <c r="M38" s="4" t="s">
        <v>26</v>
      </c>
      <c r="N38" s="4" t="s">
        <v>27</v>
      </c>
      <c r="O38" s="4" t="s">
        <v>195</v>
      </c>
      <c r="P38" s="4" t="s">
        <v>37</v>
      </c>
      <c r="Q38" s="4">
        <v>8.0</v>
      </c>
      <c r="R38" s="5" t="str">
        <f>IFERROR(__xludf.DUMMYFUNCTION("AI(""Summarize this description using 10 words"")"),"Flavorful red onions add depth and aroma to savory dishes.")</f>
        <v>Flavorful red onions add depth and aroma to savory dishes.</v>
      </c>
      <c r="S38" s="5" t="str">
        <f>IFERROR(__xludf.DUMMYFUNCTION("AI(""Translate column R in French"")"),"Les oignons rouges savoureux ajoutent de la profondeur et de l'arôme aux plats salés.")</f>
        <v>Les oignons rouges savoureux ajoutent de la profondeur et de l'arôme aux plats salés.</v>
      </c>
      <c r="T38" s="5" t="str">
        <f>IFERROR(__xludf.DUMMYFUNCTION("AI(""DO A SENTIMENT ANALYSIS FOR THIS TABLE"")"),"Mixed")</f>
        <v>Mixed</v>
      </c>
    </row>
    <row r="39" ht="22.5" customHeight="1">
      <c r="A39" s="4">
        <v>38.0</v>
      </c>
      <c r="B39" s="4" t="s">
        <v>196</v>
      </c>
      <c r="C39" s="4" t="s">
        <v>197</v>
      </c>
      <c r="D39" s="4" t="s">
        <v>116</v>
      </c>
      <c r="E39" s="4">
        <v>5.99</v>
      </c>
      <c r="F39" s="4">
        <v>9.29</v>
      </c>
      <c r="G39" s="4">
        <v>3.18</v>
      </c>
      <c r="H39" s="4">
        <v>59.0</v>
      </c>
      <c r="I39" s="4" t="s">
        <v>198</v>
      </c>
      <c r="K39" s="4">
        <v>5.0</v>
      </c>
      <c r="L39" s="4" t="s">
        <v>83</v>
      </c>
      <c r="M39" s="4" t="s">
        <v>57</v>
      </c>
      <c r="N39" s="4" t="s">
        <v>27</v>
      </c>
      <c r="O39" s="4" t="s">
        <v>199</v>
      </c>
      <c r="P39" s="4" t="s">
        <v>29</v>
      </c>
      <c r="Q39" s="4">
        <v>20.0</v>
      </c>
      <c r="R39" s="5" t="str">
        <f>IFERROR(__xludf.DUMMYFUNCTION("AI(""Summarize this description using 10 words"")"),"High-quality versatile rice serving as a staple for various cuisines.")</f>
        <v>High-quality versatile rice serving as a staple for various cuisines.</v>
      </c>
      <c r="S39" s="5" t="str">
        <f>IFERROR(__xludf.DUMMYFUNCTION("AI(""Translate column R in French"")"),"Riz de haute qualité et polyvalent, un aliment de base pour diverses cuisines.")</f>
        <v>Riz de haute qualité et polyvalent, un aliment de base pour diverses cuisines.</v>
      </c>
      <c r="T39" s="5" t="str">
        <f>IFERROR(__xludf.DUMMYFUNCTION("AI(""DO A SENTIMENT ANALYSIS FOR THIS TABLE"")"),"Mixed")</f>
        <v>Mixed</v>
      </c>
    </row>
    <row r="40" ht="22.5" customHeight="1">
      <c r="A40" s="4">
        <v>39.0</v>
      </c>
      <c r="B40" s="4" t="s">
        <v>200</v>
      </c>
      <c r="C40" s="4" t="s">
        <v>201</v>
      </c>
      <c r="D40" s="4" t="s">
        <v>116</v>
      </c>
      <c r="E40" s="4">
        <v>1.99</v>
      </c>
      <c r="F40" s="4">
        <v>17.48</v>
      </c>
      <c r="G40" s="4">
        <v>4.75</v>
      </c>
      <c r="H40" s="4">
        <v>53.0</v>
      </c>
      <c r="I40" s="4" t="s">
        <v>168</v>
      </c>
      <c r="K40" s="4">
        <v>9.0</v>
      </c>
      <c r="L40" s="4" t="s">
        <v>83</v>
      </c>
      <c r="M40" s="4" t="s">
        <v>35</v>
      </c>
      <c r="N40" s="4" t="s">
        <v>27</v>
      </c>
      <c r="O40" s="4" t="s">
        <v>202</v>
      </c>
      <c r="P40" s="4" t="s">
        <v>37</v>
      </c>
      <c r="Q40" s="4">
        <v>10.0</v>
      </c>
      <c r="R40" s="5" t="str">
        <f>IFERROR(__xludf.DUMMYFUNCTION("AI(""Summarize this description using 10 words"")"),"Variety of flavored soft drinks, ideal for refreshing beverage choices.")</f>
        <v>Variety of flavored soft drinks, ideal for refreshing beverage choices.</v>
      </c>
      <c r="S40" s="5" t="str">
        <f>IFERROR(__xludf.DUMMYFUNCTION("AI(""Translate column R in French"")"),"Variété de boissons gazeuses aromatisées, idéale pour des choix de boissons rafraîchissantes.")</f>
        <v>Variété de boissons gazeuses aromatisées, idéale pour des choix de boissons rafraîchissantes.</v>
      </c>
      <c r="T40" s="5" t="str">
        <f>IFERROR(__xludf.DUMMYFUNCTION("AI(""DO A SENTIMENT ANALYSIS FOR THIS TABLE"")"),"Mixed")</f>
        <v>Mixed</v>
      </c>
    </row>
    <row r="41" ht="22.5" customHeight="1">
      <c r="A41" s="4">
        <v>40.0</v>
      </c>
      <c r="B41" s="4" t="s">
        <v>203</v>
      </c>
      <c r="C41" s="4" t="s">
        <v>204</v>
      </c>
      <c r="D41" s="4" t="s">
        <v>116</v>
      </c>
      <c r="E41" s="4">
        <v>3.99</v>
      </c>
      <c r="F41" s="4">
        <v>1.12</v>
      </c>
      <c r="G41" s="4">
        <v>3.08</v>
      </c>
      <c r="H41" s="4">
        <v>46.0</v>
      </c>
      <c r="I41" s="4" t="s">
        <v>117</v>
      </c>
      <c r="K41" s="4">
        <v>1.0</v>
      </c>
      <c r="L41" s="4" t="s">
        <v>25</v>
      </c>
      <c r="M41" s="4" t="s">
        <v>43</v>
      </c>
      <c r="N41" s="4" t="s">
        <v>27</v>
      </c>
      <c r="O41" s="4" t="s">
        <v>205</v>
      </c>
      <c r="P41" s="4" t="s">
        <v>29</v>
      </c>
      <c r="Q41" s="4">
        <v>12.0</v>
      </c>
      <c r="R41" s="5" t="str">
        <f>IFERROR(__xludf.DUMMYFUNCTION("AI(""Summarize this description using 10 words"")"),"Sweet succulent strawberries for snacking, desserts, or blending into smoothies.")</f>
        <v>Sweet succulent strawberries for snacking, desserts, or blending into smoothies.</v>
      </c>
      <c r="S41" s="5" t="str">
        <f>IFERROR(__xludf.DUMMYFUNCTION("AI(""Translate column R in French"")"),"Fraises sucrées et succulentes pour les collations, les desserts ou à mélanger dans des smoothies.")</f>
        <v>Fraises sucrées et succulentes pour les collations, les desserts ou à mélanger dans des smoothies.</v>
      </c>
      <c r="T41" s="5" t="str">
        <f>IFERROR(__xludf.DUMMYFUNCTION("AI(""DO A SENTIMENT ANALYSIS FOR THIS TABLE"")"),"Mixed")</f>
        <v>Mixed</v>
      </c>
    </row>
    <row r="42" ht="22.5" customHeight="1">
      <c r="A42" s="4">
        <v>41.0</v>
      </c>
      <c r="B42" s="4" t="s">
        <v>206</v>
      </c>
      <c r="C42" s="4" t="s">
        <v>207</v>
      </c>
      <c r="D42" s="4" t="s">
        <v>116</v>
      </c>
      <c r="E42" s="4">
        <v>2.49</v>
      </c>
      <c r="F42" s="4">
        <v>13.28</v>
      </c>
      <c r="G42" s="4">
        <v>2.69</v>
      </c>
      <c r="H42" s="4">
        <v>86.0</v>
      </c>
      <c r="I42" s="4" t="s">
        <v>208</v>
      </c>
      <c r="K42" s="4">
        <v>1.0</v>
      </c>
      <c r="L42" s="4" t="s">
        <v>142</v>
      </c>
      <c r="M42" s="4" t="s">
        <v>43</v>
      </c>
      <c r="N42" s="4" t="s">
        <v>27</v>
      </c>
      <c r="O42" s="4" t="s">
        <v>209</v>
      </c>
      <c r="P42" s="4" t="s">
        <v>65</v>
      </c>
      <c r="Q42" s="4">
        <v>44.0</v>
      </c>
      <c r="R42" s="5" t="str">
        <f>IFERROR(__xludf.DUMMYFUNCTION("AI(""Summarize this description using 10 words"")"),"Convenient tissue box for everyday use, providing soft absorbent tissues.")</f>
        <v>Convenient tissue box for everyday use, providing soft absorbent tissues.</v>
      </c>
      <c r="S42" s="5" t="str">
        <f>IFERROR(__xludf.DUMMYFUNCTION("AI(""Translate column R in French"")"),"Boîte de mouchoirs pratique pour un usage quotidien, offrant des mouchoirs doux et absorbants.")</f>
        <v>Boîte de mouchoirs pratique pour un usage quotidien, offrant des mouchoirs doux et absorbants.</v>
      </c>
      <c r="T42" s="5" t="str">
        <f>IFERROR(__xludf.DUMMYFUNCTION("AI(""DO A SENTIMENT ANALYSIS FOR THIS TABLE"")"),"Mixed")</f>
        <v>Mixed</v>
      </c>
    </row>
    <row r="43" ht="22.5" customHeight="1">
      <c r="A43" s="4">
        <v>42.0</v>
      </c>
      <c r="B43" s="4" t="s">
        <v>210</v>
      </c>
      <c r="C43" s="4" t="s">
        <v>211</v>
      </c>
      <c r="D43" s="4" t="s">
        <v>116</v>
      </c>
      <c r="E43" s="4">
        <v>0.99</v>
      </c>
      <c r="F43" s="4">
        <v>14.92</v>
      </c>
      <c r="G43" s="4">
        <v>4.96</v>
      </c>
      <c r="H43" s="4">
        <v>53.0</v>
      </c>
      <c r="I43" s="4" t="s">
        <v>168</v>
      </c>
      <c r="K43" s="4">
        <v>4.0</v>
      </c>
      <c r="L43" s="4" t="s">
        <v>42</v>
      </c>
      <c r="M43" s="4" t="s">
        <v>77</v>
      </c>
      <c r="N43" s="4" t="s">
        <v>27</v>
      </c>
      <c r="O43" s="4" t="s">
        <v>212</v>
      </c>
      <c r="P43" s="4" t="s">
        <v>37</v>
      </c>
      <c r="Q43" s="4">
        <v>28.0</v>
      </c>
      <c r="R43" s="5" t="str">
        <f>IFERROR(__xludf.DUMMYFUNCTION("AI(""Summarize this description using 10 words"")"),"Pure refreshing bottled water essential for staying hydrated all day.")</f>
        <v>Pure refreshing bottled water essential for staying hydrated all day.</v>
      </c>
      <c r="S43" s="5" t="str">
        <f>IFERROR(__xludf.DUMMYFUNCTION("AI(""Translate column R in French"")"),"Eau en bouteille pure et rafraîchissante, essentielle pour rester hydraté toute la journée.")</f>
        <v>Eau en bouteille pure et rafraîchissante, essentielle pour rester hydraté toute la journée.</v>
      </c>
      <c r="T43" s="5" t="str">
        <f>IFERROR(__xludf.DUMMYFUNCTION("AI(""DO A SENTIMENT ANALYSIS FOR THIS TABLE"")"),"Mixed")</f>
        <v>Mixed</v>
      </c>
    </row>
    <row r="44" ht="22.5" customHeight="1">
      <c r="A44" s="4">
        <v>43.0</v>
      </c>
      <c r="B44" s="4" t="s">
        <v>213</v>
      </c>
      <c r="C44" s="4" t="s">
        <v>214</v>
      </c>
      <c r="D44" s="4" t="s">
        <v>215</v>
      </c>
      <c r="E44" s="4">
        <v>59.99</v>
      </c>
      <c r="F44" s="4">
        <v>10.41</v>
      </c>
      <c r="G44" s="4">
        <v>3.16</v>
      </c>
      <c r="H44" s="4">
        <v>47.0</v>
      </c>
      <c r="I44" s="4" t="s">
        <v>216</v>
      </c>
      <c r="K44" s="4">
        <v>4.0</v>
      </c>
      <c r="L44" s="4" t="s">
        <v>25</v>
      </c>
      <c r="M44" s="4" t="s">
        <v>77</v>
      </c>
      <c r="N44" s="4" t="s">
        <v>27</v>
      </c>
      <c r="O44" s="4" t="s">
        <v>217</v>
      </c>
      <c r="P44" s="4" t="s">
        <v>65</v>
      </c>
      <c r="Q44" s="4">
        <v>8.0</v>
      </c>
      <c r="R44" s="5" t="str">
        <f>IFERROR(__xludf.DUMMYFUNCTION("AI(""Summarize this description using 10 words"")"),"Charming home decor addition with intricate details adding elegance and whimsy.")</f>
        <v>Charming home decor addition with intricate details adding elegance and whimsy.</v>
      </c>
      <c r="S44" s="5" t="str">
        <f>IFERROR(__xludf.DUMMYFUNCTION("AI(""Translate column R in French"")"),"Balançoire décorative charmante aux détails complexes, apportant une touche d'élégance et de fantaisie à toute pièce.")</f>
        <v>Balançoire décorative charmante aux détails complexes, apportant une touche d'élégance et de fantaisie à toute pièce.</v>
      </c>
      <c r="T44" s="5" t="str">
        <f>IFERROR(__xludf.DUMMYFUNCTION("AI(""DO A SENTIMENT ANALYSIS FOR THIS TABLE"")"),"Negative")</f>
        <v>Negative</v>
      </c>
    </row>
    <row r="45" ht="22.5" customHeight="1">
      <c r="A45" s="4">
        <v>44.0</v>
      </c>
      <c r="B45" s="4" t="s">
        <v>218</v>
      </c>
      <c r="C45" s="4" t="s">
        <v>219</v>
      </c>
      <c r="D45" s="4" t="s">
        <v>215</v>
      </c>
      <c r="E45" s="4">
        <v>29.99</v>
      </c>
      <c r="F45" s="4">
        <v>14.87</v>
      </c>
      <c r="G45" s="4">
        <v>4.53</v>
      </c>
      <c r="H45" s="4">
        <v>77.0</v>
      </c>
      <c r="I45" s="4" t="s">
        <v>220</v>
      </c>
      <c r="K45" s="4">
        <v>1.0</v>
      </c>
      <c r="L45" s="4" t="s">
        <v>56</v>
      </c>
      <c r="M45" s="4" t="s">
        <v>35</v>
      </c>
      <c r="N45" s="4" t="s">
        <v>27</v>
      </c>
      <c r="O45" s="4" t="s">
        <v>221</v>
      </c>
      <c r="P45" s="4" t="s">
        <v>29</v>
      </c>
      <c r="Q45" s="4">
        <v>15.0</v>
      </c>
      <c r="R45" s="5" t="str">
        <f>IFERROR(__xludf.DUMMYFUNCTION("AI(""Summarize this description using 10 words"")"),"Sentimental frame with multiple slots to display cherished family memories.")</f>
        <v>Sentimental frame with multiple slots to display cherished family memories.</v>
      </c>
      <c r="S45" s="5" t="str">
        <f>IFERROR(__xludf.DUMMYFUNCTION("AI(""Translate column R in French"")"),"Cadre sentimental avec plusieurs emplacements pour afficher des souvenirs de famille précieux.")</f>
        <v>Cadre sentimental avec plusieurs emplacements pour afficher des souvenirs de famille précieux.</v>
      </c>
      <c r="T45" s="5" t="str">
        <f>IFERROR(__xludf.DUMMYFUNCTION("AI(""DO A SENTIMENT ANALYSIS FOR THIS TABLE"")"),"Mixed")</f>
        <v>Mixed</v>
      </c>
    </row>
    <row r="46" ht="22.5" customHeight="1">
      <c r="A46" s="4">
        <v>45.0</v>
      </c>
      <c r="B46" s="4" t="s">
        <v>222</v>
      </c>
      <c r="C46" s="4" t="s">
        <v>223</v>
      </c>
      <c r="D46" s="4" t="s">
        <v>215</v>
      </c>
      <c r="E46" s="4">
        <v>39.99</v>
      </c>
      <c r="F46" s="4">
        <v>7.46</v>
      </c>
      <c r="G46" s="4">
        <v>4.67</v>
      </c>
      <c r="H46" s="4">
        <v>28.0</v>
      </c>
      <c r="I46" s="4" t="s">
        <v>224</v>
      </c>
      <c r="K46" s="4">
        <v>8.0</v>
      </c>
      <c r="L46" s="4" t="s">
        <v>34</v>
      </c>
      <c r="M46" s="4" t="s">
        <v>50</v>
      </c>
      <c r="N46" s="4" t="s">
        <v>27</v>
      </c>
      <c r="O46" s="4" t="s">
        <v>225</v>
      </c>
      <c r="P46" s="4" t="s">
        <v>29</v>
      </c>
      <c r="Q46" s="4">
        <v>3.0</v>
      </c>
      <c r="R46" s="5" t="str">
        <f>IFERROR(__xludf.DUMMYFUNCTION("AI(""Summarize this description using 10 words"")"),"Artificial plant adds maintenance-free greenery and style to any space.")</f>
        <v>Artificial plant adds maintenance-free greenery and style to any space.</v>
      </c>
      <c r="S46" s="5" t="str">
        <f>IFERROR(__xludf.DUMMYFUNCTION("AI(""Translate column R in French"")"),"Plante d'intérieur artificielle ajoutant de la verdure sans entretien et du style à n'importe quel espace.")</f>
        <v>Plante d'intérieur artificielle ajoutant de la verdure sans entretien et du style à n'importe quel espace.</v>
      </c>
      <c r="T46" s="5" t="str">
        <f>IFERROR(__xludf.DUMMYFUNCTION("AI(""DO A SENTIMENT ANALYSIS FOR THIS TABLE"")"),"Mixed")</f>
        <v>Mixed</v>
      </c>
    </row>
    <row r="47" ht="22.5" customHeight="1">
      <c r="A47" s="4">
        <v>46.0</v>
      </c>
      <c r="B47" s="4" t="s">
        <v>226</v>
      </c>
      <c r="C47" s="4" t="s">
        <v>227</v>
      </c>
      <c r="D47" s="4" t="s">
        <v>215</v>
      </c>
      <c r="E47" s="4">
        <v>14.99</v>
      </c>
      <c r="F47" s="4">
        <v>6.84</v>
      </c>
      <c r="G47" s="4">
        <v>3.01</v>
      </c>
      <c r="H47" s="4">
        <v>59.0</v>
      </c>
      <c r="I47" s="4" t="s">
        <v>228</v>
      </c>
      <c r="K47" s="4">
        <v>9.0</v>
      </c>
      <c r="L47" s="4" t="s">
        <v>94</v>
      </c>
      <c r="M47" s="4" t="s">
        <v>26</v>
      </c>
      <c r="N47" s="4" t="s">
        <v>27</v>
      </c>
      <c r="O47" s="4" t="s">
        <v>229</v>
      </c>
      <c r="P47" s="4" t="s">
        <v>134</v>
      </c>
      <c r="Q47" s="4">
        <v>31.0</v>
      </c>
      <c r="R47" s="5" t="str">
        <f>IFERROR(__xludf.DUMMYFUNCTION("AI(""Summarize this description using 10 words"")"),"Sleek, stylish container for indoor and outdoor modern plant displays.")</f>
        <v>Sleek, stylish container for indoor and outdoor modern plant displays.</v>
      </c>
      <c r="S47" s="5" t="str">
        <f>IFERROR(__xludf.DUMMYFUNCTION("AI(""Translate column R in French"")"),"Conteneur élégant et stylé pour des présentations de plantes modernes en intérieur et en extérieur.")</f>
        <v>Conteneur élégant et stylé pour des présentations de plantes modernes en intérieur et en extérieur.</v>
      </c>
      <c r="T47" s="5" t="str">
        <f>IFERROR(__xludf.DUMMYFUNCTION("AI(""DO A SENTIMENT ANALYSIS FOR THIS TABLE"")"),"Mixed")</f>
        <v>Mixed</v>
      </c>
    </row>
    <row r="48" ht="22.5" customHeight="1">
      <c r="A48" s="4">
        <v>47.0</v>
      </c>
      <c r="B48" s="4" t="s">
        <v>230</v>
      </c>
      <c r="C48" s="4" t="s">
        <v>231</v>
      </c>
      <c r="D48" s="4" t="s">
        <v>215</v>
      </c>
      <c r="E48" s="4">
        <v>49.99</v>
      </c>
      <c r="F48" s="4">
        <v>7.09</v>
      </c>
      <c r="G48" s="4">
        <v>3.55</v>
      </c>
      <c r="H48" s="4">
        <v>9.0</v>
      </c>
      <c r="I48" s="4" t="s">
        <v>232</v>
      </c>
      <c r="K48" s="4">
        <v>4.0</v>
      </c>
      <c r="L48" s="4" t="s">
        <v>42</v>
      </c>
      <c r="M48" s="4" t="s">
        <v>43</v>
      </c>
      <c r="N48" s="4" t="s">
        <v>27</v>
      </c>
      <c r="O48" s="4" t="s">
        <v>233</v>
      </c>
      <c r="P48" s="4" t="s">
        <v>65</v>
      </c>
      <c r="Q48" s="4">
        <v>2.0</v>
      </c>
      <c r="R48" s="5" t="str">
        <f>IFERROR(__xludf.DUMMYFUNCTION("AI(""Summarize this description using 10 words"")"),"Modern functional decorative lamp providing ambient and task lighting solutions.")</f>
        <v>Modern functional decorative lamp providing ambient and task lighting solutions.</v>
      </c>
      <c r="S48" s="5" t="str">
        <f>IFERROR(__xludf.DUMMYFUNCTION("AI(""Translate column R in French"")"),"Lampe de table moderne, fonctionnelle et décorative offrant des solutions d'éclairage d'ambiance et de travail.")</f>
        <v>Lampe de table moderne, fonctionnelle et décorative offrant des solutions d'éclairage d'ambiance et de travail.</v>
      </c>
      <c r="T48" s="5" t="str">
        <f>IFERROR(__xludf.DUMMYFUNCTION("AI(""DO A SENTIMENT ANALYSIS FOR THIS TABLE"")"),"Mixed")</f>
        <v>Mixed</v>
      </c>
    </row>
    <row r="49" ht="22.5" customHeight="1">
      <c r="A49" s="4">
        <v>48.0</v>
      </c>
      <c r="B49" s="4" t="s">
        <v>234</v>
      </c>
      <c r="C49" s="4" t="s">
        <v>235</v>
      </c>
      <c r="D49" s="4" t="s">
        <v>236</v>
      </c>
      <c r="E49" s="4">
        <v>7.99</v>
      </c>
      <c r="F49" s="4">
        <v>2.84</v>
      </c>
      <c r="G49" s="4">
        <v>3.27</v>
      </c>
      <c r="H49" s="4">
        <v>37.0</v>
      </c>
      <c r="I49" s="4" t="s">
        <v>237</v>
      </c>
      <c r="K49" s="4">
        <v>3.0</v>
      </c>
      <c r="L49" s="4" t="s">
        <v>56</v>
      </c>
      <c r="M49" s="4" t="s">
        <v>57</v>
      </c>
      <c r="N49" s="4" t="s">
        <v>27</v>
      </c>
      <c r="O49" s="4" t="s">
        <v>238</v>
      </c>
      <c r="P49" s="4" t="s">
        <v>108</v>
      </c>
      <c r="Q49" s="4">
        <v>29.0</v>
      </c>
      <c r="R49" s="5" t="str">
        <f>IFERROR(__xludf.DUMMYFUNCTION("AI(""Summarize this description using 10 words"")"),"Versatile eco-friendly bamboo kitchen tool for flipping, stirring and serving.")</f>
        <v>Versatile eco-friendly bamboo kitchen tool for flipping, stirring and serving.</v>
      </c>
      <c r="S49" s="5" t="str">
        <f>IFERROR(__xludf.DUMMYFUNCTION("AI(""Translate column R in French"")"),"Ustensile de cuisine en bambou polyvalent et écologique pour retourner, remuer et servir.")</f>
        <v>Ustensile de cuisine en bambou polyvalent et écologique pour retourner, remuer et servir.</v>
      </c>
      <c r="T49" s="5" t="str">
        <f>IFERROR(__xludf.DUMMYFUNCTION("AI(""DO A SENTIMENT ANALYSIS FOR THIS TABLE"")"),"Positive")</f>
        <v>Positive</v>
      </c>
    </row>
    <row r="50" ht="22.5" customHeight="1">
      <c r="A50" s="4">
        <v>49.0</v>
      </c>
      <c r="B50" s="4" t="s">
        <v>239</v>
      </c>
      <c r="C50" s="4" t="s">
        <v>240</v>
      </c>
      <c r="D50" s="4" t="s">
        <v>236</v>
      </c>
      <c r="E50" s="4">
        <v>5.99</v>
      </c>
      <c r="F50" s="4">
        <v>15.65</v>
      </c>
      <c r="G50" s="4">
        <v>4.46</v>
      </c>
      <c r="H50" s="4">
        <v>75.0</v>
      </c>
      <c r="I50" s="4" t="s">
        <v>241</v>
      </c>
      <c r="K50" s="4">
        <v>7.0</v>
      </c>
      <c r="L50" s="4" t="s">
        <v>34</v>
      </c>
      <c r="M50" s="4" t="s">
        <v>57</v>
      </c>
      <c r="N50" s="4" t="s">
        <v>27</v>
      </c>
      <c r="O50" s="4" t="s">
        <v>242</v>
      </c>
      <c r="P50" s="4" t="s">
        <v>134</v>
      </c>
      <c r="Q50" s="4">
        <v>48.0</v>
      </c>
      <c r="R50" s="5" t="str">
        <f>IFERROR(__xludf.DUMMYFUNCTION("AI(""Summarize this description using 10 words"")"),"Stylish durable black cup for hot and cold drinks. Modern.")</f>
        <v>Stylish durable black cup for hot and cold drinks. Modern.</v>
      </c>
      <c r="S50" s="5" t="str">
        <f>IFERROR(__xludf.DUMMYFUNCTION("AI(""Translate column R in French"")"),"Gobelet noir élégant et durable pour boissons chaudes et froides. Moderne.")</f>
        <v>Gobelet noir élégant et durable pour boissons chaudes et froides. Moderne.</v>
      </c>
      <c r="T50" s="5" t="str">
        <f>IFERROR(__xludf.DUMMYFUNCTION("AI(""DO A SENTIMENT ANALYSIS FOR THIS TABLE"")"),"Mixed")</f>
        <v>Mixed</v>
      </c>
    </row>
    <row r="51" ht="22.5" customHeight="1">
      <c r="A51" s="4">
        <v>50.0</v>
      </c>
      <c r="B51" s="4" t="s">
        <v>243</v>
      </c>
      <c r="C51" s="4" t="s">
        <v>244</v>
      </c>
      <c r="D51" s="4" t="s">
        <v>236</v>
      </c>
      <c r="E51" s="4">
        <v>9.99</v>
      </c>
      <c r="F51" s="4">
        <v>10.24</v>
      </c>
      <c r="G51" s="4">
        <v>3.9</v>
      </c>
      <c r="H51" s="4">
        <v>73.0</v>
      </c>
      <c r="I51" s="4" t="s">
        <v>237</v>
      </c>
      <c r="K51" s="4">
        <v>1.0</v>
      </c>
      <c r="L51" s="4" t="s">
        <v>42</v>
      </c>
      <c r="M51" s="4" t="s">
        <v>77</v>
      </c>
      <c r="N51" s="4" t="s">
        <v>27</v>
      </c>
      <c r="O51" s="4" t="s">
        <v>245</v>
      </c>
      <c r="P51" s="4" t="s">
        <v>134</v>
      </c>
      <c r="Q51" s="4">
        <v>40.0</v>
      </c>
      <c r="R51" s="5" t="str">
        <f>IFERROR(__xludf.DUMMYFUNCTION("AI(""Summarize this description using 10 words"")"),"Essential kitchen tool for whisking ingredients with ergonomic stylish design")</f>
        <v>Essential kitchen tool for whisking ingredients with ergonomic stylish design</v>
      </c>
      <c r="S51" s="5" t="str">
        <f>IFERROR(__xludf.DUMMYFUNCTION("AI(""Translate column R in French"")"),"Ustensile de cuisine indispensable pour fouetter les ingrédients avec un design ergonomique et élégant.")</f>
        <v>Ustensile de cuisine indispensable pour fouetter les ingrédients avec un design ergonomique et élégant.</v>
      </c>
      <c r="T51" s="5" t="str">
        <f>IFERROR(__xludf.DUMMYFUNCTION("AI(""DO A SENTIMENT ANALYSIS FOR THIS TABLE"")"),"Mixed")</f>
        <v>Mixed</v>
      </c>
    </row>
    <row r="52" ht="22.5" customHeight="1">
      <c r="A52" s="4">
        <v>51.0</v>
      </c>
      <c r="B52" s="4" t="s">
        <v>246</v>
      </c>
      <c r="C52" s="4" t="s">
        <v>247</v>
      </c>
      <c r="D52" s="4" t="s">
        <v>236</v>
      </c>
      <c r="E52" s="4">
        <v>39.99</v>
      </c>
      <c r="F52" s="4">
        <v>7.26</v>
      </c>
      <c r="G52" s="4">
        <v>4.56</v>
      </c>
      <c r="H52" s="4">
        <v>9.0</v>
      </c>
      <c r="I52" s="4" t="s">
        <v>248</v>
      </c>
      <c r="K52" s="4">
        <v>1.0</v>
      </c>
      <c r="L52" s="4" t="s">
        <v>100</v>
      </c>
      <c r="M52" s="4" t="s">
        <v>43</v>
      </c>
      <c r="N52" s="4" t="s">
        <v>27</v>
      </c>
      <c r="O52" s="4" t="s">
        <v>249</v>
      </c>
      <c r="P52" s="4" t="s">
        <v>37</v>
      </c>
      <c r="Q52" s="4">
        <v>4.0</v>
      </c>
      <c r="R52" s="5" t="str">
        <f>IFERROR(__xludf.DUMMYFUNCTION("AI(""Summarize this description using 10 words"")"),"Powerful compact blender for smoothies, shakes, and versatile kitchen tasks.")</f>
        <v>Powerful compact blender for smoothies, shakes, and versatile kitchen tasks.</v>
      </c>
      <c r="S52" s="5" t="str">
        <f>IFERROR(__xludf.DUMMYFUNCTION("AI(""Translate column R in French"")"),"Blender compact et puissant pour smoothies, shakes et tâches de cuisine polyvalentes.")</f>
        <v>Blender compact et puissant pour smoothies, shakes et tâches de cuisine polyvalentes.</v>
      </c>
      <c r="T52" s="5" t="str">
        <f>IFERROR(__xludf.DUMMYFUNCTION("AI(""DO A SENTIMENT ANALYSIS FOR THIS TABLE"")"),"Positive")</f>
        <v>Positive</v>
      </c>
    </row>
    <row r="53" ht="22.5" customHeight="1">
      <c r="A53" s="4">
        <v>52.0</v>
      </c>
      <c r="B53" s="4" t="s">
        <v>250</v>
      </c>
      <c r="C53" s="4" t="s">
        <v>251</v>
      </c>
      <c r="D53" s="4" t="s">
        <v>236</v>
      </c>
      <c r="E53" s="4">
        <v>29.99</v>
      </c>
      <c r="F53" s="4">
        <v>6.53</v>
      </c>
      <c r="G53" s="4">
        <v>4.05</v>
      </c>
      <c r="H53" s="4">
        <v>40.0</v>
      </c>
      <c r="I53" s="4" t="s">
        <v>252</v>
      </c>
      <c r="K53" s="4">
        <v>2.0</v>
      </c>
      <c r="L53" s="4" t="s">
        <v>106</v>
      </c>
      <c r="M53" s="4" t="s">
        <v>43</v>
      </c>
      <c r="N53" s="4" t="s">
        <v>27</v>
      </c>
      <c r="O53" s="4" t="s">
        <v>253</v>
      </c>
      <c r="P53" s="4" t="s">
        <v>37</v>
      </c>
      <c r="Q53" s="4">
        <v>9.0</v>
      </c>
      <c r="R53" s="5" t="str">
        <f>IFERROR(__xludf.DUMMYFUNCTION("AI(""Summarize this description using 10 words"")"),"Versatile carbon steel wok for stir-frying, sautéing, and deep frying.")</f>
        <v>Versatile carbon steel wok for stir-frying, sautéing, and deep frying.</v>
      </c>
      <c r="S53" s="5" t="str">
        <f>IFERROR(__xludf.DUMMYFUNCTION("AI(""Translate column R in French"")"),"Wok en acier au carbone polyvalent pour faire sauter, faire revenir et frire.")</f>
        <v>Wok en acier au carbone polyvalent pour faire sauter, faire revenir et frire.</v>
      </c>
      <c r="T53" s="5" t="str">
        <f>IFERROR(__xludf.DUMMYFUNCTION("AI(""DO A SENTIMENT ANALYSIS FOR THIS TABLE"")"),"Positive")</f>
        <v>Positive</v>
      </c>
    </row>
    <row r="54" ht="22.5" customHeight="1">
      <c r="A54" s="4">
        <v>53.0</v>
      </c>
      <c r="B54" s="4" t="s">
        <v>254</v>
      </c>
      <c r="C54" s="4" t="s">
        <v>255</v>
      </c>
      <c r="D54" s="4" t="s">
        <v>236</v>
      </c>
      <c r="E54" s="4">
        <v>12.99</v>
      </c>
      <c r="F54" s="4">
        <v>8.03</v>
      </c>
      <c r="G54" s="4">
        <v>3.7</v>
      </c>
      <c r="H54" s="4">
        <v>14.0</v>
      </c>
      <c r="I54" s="4" t="s">
        <v>256</v>
      </c>
      <c r="K54" s="4">
        <v>2.0</v>
      </c>
      <c r="L54" s="4" t="s">
        <v>42</v>
      </c>
      <c r="M54" s="4" t="s">
        <v>35</v>
      </c>
      <c r="N54" s="4" t="s">
        <v>27</v>
      </c>
      <c r="O54" s="4" t="s">
        <v>257</v>
      </c>
      <c r="P54" s="4" t="s">
        <v>29</v>
      </c>
      <c r="Q54" s="4">
        <v>5.0</v>
      </c>
      <c r="R54" s="5" t="str">
        <f>IFERROR(__xludf.DUMMYFUNCTION("AI(""Summarize this description using 10 words"")"),"Durable kitchen accessory providing a safe and hygienic cutting surface.")</f>
        <v>Durable kitchen accessory providing a safe and hygienic cutting surface.</v>
      </c>
      <c r="S54" s="5" t="str">
        <f>IFERROR(__xludf.DUMMYFUNCTION("AI(""Translate column R in French"")"),"Accessoire de cuisine durable offrant une surface de coupe sûre et hygiénique.")</f>
        <v>Accessoire de cuisine durable offrant une surface de coupe sûre et hygiénique.</v>
      </c>
      <c r="T54" s="5" t="str">
        <f>IFERROR(__xludf.DUMMYFUNCTION("AI(""DO A SENTIMENT ANALYSIS FOR THIS TABLE"")"),"Positive")</f>
        <v>Positive</v>
      </c>
    </row>
    <row r="55" ht="22.5" customHeight="1">
      <c r="A55" s="4">
        <v>54.0</v>
      </c>
      <c r="B55" s="4" t="s">
        <v>258</v>
      </c>
      <c r="C55" s="4" t="s">
        <v>259</v>
      </c>
      <c r="D55" s="4" t="s">
        <v>236</v>
      </c>
      <c r="E55" s="4">
        <v>8.99</v>
      </c>
      <c r="F55" s="4">
        <v>12.1</v>
      </c>
      <c r="G55" s="4">
        <v>4.63</v>
      </c>
      <c r="H55" s="4">
        <v>22.0</v>
      </c>
      <c r="I55" s="4" t="s">
        <v>260</v>
      </c>
      <c r="K55" s="4">
        <v>2.0</v>
      </c>
      <c r="L55" s="4" t="s">
        <v>106</v>
      </c>
      <c r="M55" s="4" t="s">
        <v>26</v>
      </c>
      <c r="N55" s="4" t="s">
        <v>27</v>
      </c>
      <c r="O55" s="4" t="s">
        <v>261</v>
      </c>
      <c r="P55" s="4" t="s">
        <v>108</v>
      </c>
      <c r="Q55" s="4">
        <v>38.0</v>
      </c>
      <c r="R55" s="5" t="str">
        <f>IFERROR(__xludf.DUMMYFUNCTION("AI(""Summarize this description using 10 words"")"),"Handy yellow tool for extracting juice from vibrant citrus fruits.")</f>
        <v>Handy yellow tool for extracting juice from vibrant citrus fruits.</v>
      </c>
      <c r="S55" s="5" t="str">
        <f>IFERROR(__xludf.DUMMYFUNCTION("AI(""Translate column R in French"")"),"Outil jaune pratique pour extraire le jus des agrumes éclatants.")</f>
        <v>Outil jaune pratique pour extraire le jus des agrumes éclatants.</v>
      </c>
      <c r="T55" s="5" t="str">
        <f>IFERROR(__xludf.DUMMYFUNCTION("AI(""DO A SENTIMENT ANALYSIS FOR THIS TABLE"")"),"Positive")</f>
        <v>Positive</v>
      </c>
    </row>
    <row r="56" ht="22.5" customHeight="1">
      <c r="A56" s="4">
        <v>55.0</v>
      </c>
      <c r="B56" s="4" t="s">
        <v>262</v>
      </c>
      <c r="C56" s="4" t="s">
        <v>263</v>
      </c>
      <c r="D56" s="4" t="s">
        <v>236</v>
      </c>
      <c r="E56" s="4">
        <v>6.99</v>
      </c>
      <c r="F56" s="4">
        <v>14.76</v>
      </c>
      <c r="G56" s="4">
        <v>3.09</v>
      </c>
      <c r="H56" s="4">
        <v>40.0</v>
      </c>
      <c r="I56" s="4" t="s">
        <v>264</v>
      </c>
      <c r="K56" s="4">
        <v>2.0</v>
      </c>
      <c r="L56" s="4" t="s">
        <v>25</v>
      </c>
      <c r="M56" s="4" t="s">
        <v>77</v>
      </c>
      <c r="N56" s="4" t="s">
        <v>27</v>
      </c>
      <c r="O56" s="4" t="s">
        <v>265</v>
      </c>
      <c r="P56" s="4" t="s">
        <v>29</v>
      </c>
      <c r="Q56" s="4">
        <v>32.0</v>
      </c>
      <c r="R56" s="5" t="str">
        <f>IFERROR(__xludf.DUMMYFUNCTION("AI(""Summarize this description using 10 words"")"),"Convenient tool for even egg slicing, perfect for salads and sandwiches.")</f>
        <v>Convenient tool for even egg slicing, perfect for salads and sandwiches.</v>
      </c>
      <c r="S56" s="5" t="str">
        <f>IFERROR(__xludf.DUMMYFUNCTION("AI(""Translate column R in French"")"),"Outil pratique pour trancher les œufs uniformément, parfait pour les salades et les sandwichs.")</f>
        <v>Outil pratique pour trancher les œufs uniformément, parfait pour les salades et les sandwichs.</v>
      </c>
      <c r="T56" s="5" t="str">
        <f>IFERROR(__xludf.DUMMYFUNCTION("AI(""DO A SENTIMENT ANALYSIS FOR THIS TABLE"")"),"Mixed")</f>
        <v>Mixed</v>
      </c>
    </row>
    <row r="57" ht="22.5" customHeight="1">
      <c r="A57" s="4">
        <v>56.0</v>
      </c>
      <c r="B57" s="4" t="s">
        <v>266</v>
      </c>
      <c r="C57" s="4" t="s">
        <v>267</v>
      </c>
      <c r="D57" s="4" t="s">
        <v>236</v>
      </c>
      <c r="E57" s="4">
        <v>49.99</v>
      </c>
      <c r="F57" s="4">
        <v>14.04</v>
      </c>
      <c r="G57" s="4">
        <v>4.11</v>
      </c>
      <c r="H57" s="4">
        <v>21.0</v>
      </c>
      <c r="I57" s="4" t="s">
        <v>268</v>
      </c>
      <c r="K57" s="4">
        <v>5.0</v>
      </c>
      <c r="L57" s="4" t="s">
        <v>106</v>
      </c>
      <c r="M57" s="4" t="s">
        <v>50</v>
      </c>
      <c r="N57" s="4" t="s">
        <v>27</v>
      </c>
      <c r="O57" s="4" t="s">
        <v>269</v>
      </c>
      <c r="P57" s="4" t="s">
        <v>37</v>
      </c>
      <c r="Q57" s="4">
        <v>8.0</v>
      </c>
      <c r="R57" s="5" t="str">
        <f>IFERROR(__xludf.DUMMYFUNCTION("AI(""Summarize this description using 10 words"")"),"Portable and efficient electric stove for small kitchens and travel.")</f>
        <v>Portable and efficient electric stove for small kitchens and travel.</v>
      </c>
      <c r="S57" s="5" t="str">
        <f>IFERROR(__xludf.DUMMYFUNCTION("AI(""Translate column R in French"")"),"Cuisinière électrique portable et efficace pour les petites cuisines et les voyages.")</f>
        <v>Cuisinière électrique portable et efficace pour les petites cuisines et les voyages.</v>
      </c>
      <c r="T57" s="5" t="str">
        <f>IFERROR(__xludf.DUMMYFUNCTION("AI(""DO A SENTIMENT ANALYSIS FOR THIS TABLE"")"),"Mixed")</f>
        <v>Mixed</v>
      </c>
    </row>
    <row r="58" ht="22.5" customHeight="1">
      <c r="A58" s="4">
        <v>57.0</v>
      </c>
      <c r="B58" s="4" t="s">
        <v>270</v>
      </c>
      <c r="C58" s="4" t="s">
        <v>271</v>
      </c>
      <c r="D58" s="4" t="s">
        <v>236</v>
      </c>
      <c r="E58" s="4">
        <v>9.99</v>
      </c>
      <c r="F58" s="4">
        <v>3.5</v>
      </c>
      <c r="G58" s="4">
        <v>3.04</v>
      </c>
      <c r="H58" s="4">
        <v>85.0</v>
      </c>
      <c r="I58" s="4" t="s">
        <v>272</v>
      </c>
      <c r="K58" s="4">
        <v>9.0</v>
      </c>
      <c r="L58" s="4" t="s">
        <v>56</v>
      </c>
      <c r="M58" s="4" t="s">
        <v>57</v>
      </c>
      <c r="N58" s="4" t="s">
        <v>27</v>
      </c>
      <c r="O58" s="4" t="s">
        <v>273</v>
      </c>
      <c r="P58" s="4" t="s">
        <v>37</v>
      </c>
      <c r="Q58" s="4">
        <v>43.0</v>
      </c>
      <c r="R58" s="5" t="str">
        <f>IFERROR(__xludf.DUMMYFUNCTION("AI(""Summarize this description using 10 words"")"),"Versatile fine mesh strainer for liquids and sifting dry ingredients.")</f>
        <v>Versatile fine mesh strainer for liquids and sifting dry ingredients.</v>
      </c>
      <c r="S58" s="5" t="str">
        <f>IFERROR(__xludf.DUMMYFUNCTION("AI(""Translate column R in French"")"),"Passoire à mailles fines polyvalente pour filtrer les liquides et tamiser les ingrédients secs.")</f>
        <v>Passoire à mailles fines polyvalente pour filtrer les liquides et tamiser les ingrédients secs.</v>
      </c>
      <c r="T58" s="5" t="str">
        <f>IFERROR(__xludf.DUMMYFUNCTION("AI(""DO A SENTIMENT ANALYSIS FOR THIS TABLE"")"),"Positive")</f>
        <v>Positive</v>
      </c>
    </row>
    <row r="59" ht="22.5" customHeight="1">
      <c r="A59" s="4">
        <v>58.0</v>
      </c>
      <c r="B59" s="4" t="s">
        <v>274</v>
      </c>
      <c r="C59" s="4" t="s">
        <v>275</v>
      </c>
      <c r="D59" s="4" t="s">
        <v>236</v>
      </c>
      <c r="E59" s="4">
        <v>3.99</v>
      </c>
      <c r="F59" s="4">
        <v>8.07</v>
      </c>
      <c r="G59" s="4">
        <v>3.11</v>
      </c>
      <c r="H59" s="4">
        <v>7.0</v>
      </c>
      <c r="I59" s="4" t="s">
        <v>237</v>
      </c>
      <c r="K59" s="4">
        <v>9.0</v>
      </c>
      <c r="L59" s="4" t="s">
        <v>142</v>
      </c>
      <c r="M59" s="4" t="s">
        <v>77</v>
      </c>
      <c r="N59" s="4" t="s">
        <v>27</v>
      </c>
      <c r="O59" s="4" t="s">
        <v>276</v>
      </c>
      <c r="P59" s="4" t="s">
        <v>29</v>
      </c>
      <c r="Q59" s="4">
        <v>36.0</v>
      </c>
      <c r="R59" s="5" t="str">
        <f>IFERROR(__xludf.DUMMYFUNCTION("AI(""Summarize this description using 10 words"")"),"Classic, durable, ergonomic utensil for everyday dining and serving purposes.")</f>
        <v>Classic, durable, ergonomic utensil for everyday dining and serving purposes.</v>
      </c>
      <c r="S59" s="5" t="str">
        <f>IFERROR(__xludf.DUMMYFUNCTION("AI(""Translate column R in French"")"),"Ustensile classique, durable et ergonomique pour les repas quotidiens et le service.")</f>
        <v>Ustensile classique, durable et ergonomique pour les repas quotidiens et le service.</v>
      </c>
      <c r="T59" s="5" t="str">
        <f>IFERROR(__xludf.DUMMYFUNCTION("AI(""DO A SENTIMENT ANALYSIS FOR THIS TABLE"")"),"Mixed")</f>
        <v>Mixed</v>
      </c>
    </row>
    <row r="60" ht="22.5" customHeight="1">
      <c r="A60" s="4">
        <v>59.0</v>
      </c>
      <c r="B60" s="4" t="s">
        <v>277</v>
      </c>
      <c r="C60" s="4" t="s">
        <v>278</v>
      </c>
      <c r="D60" s="4" t="s">
        <v>236</v>
      </c>
      <c r="E60" s="4">
        <v>4.99</v>
      </c>
      <c r="F60" s="4">
        <v>7.92</v>
      </c>
      <c r="G60" s="4">
        <v>4.02</v>
      </c>
      <c r="H60" s="4">
        <v>46.0</v>
      </c>
      <c r="I60" s="4" t="s">
        <v>279</v>
      </c>
      <c r="K60" s="4">
        <v>10.0</v>
      </c>
      <c r="L60" s="4" t="s">
        <v>49</v>
      </c>
      <c r="M60" s="4" t="s">
        <v>57</v>
      </c>
      <c r="N60" s="4" t="s">
        <v>27</v>
      </c>
      <c r="O60" s="4" t="s">
        <v>280</v>
      </c>
      <c r="P60" s="4" t="s">
        <v>37</v>
      </c>
      <c r="Q60" s="4">
        <v>17.0</v>
      </c>
      <c r="R60" s="5" t="str">
        <f>IFERROR(__xludf.DUMMYFUNCTION("AI(""Summarize this description using 10 words"")"),"Versatile, elegant drinking vessel with a clear, clear-view design.")</f>
        <v>Versatile, elegant drinking vessel with a clear, clear-view design.</v>
      </c>
      <c r="S60" s="5" t="str">
        <f>IFERROR(__xludf.DUMMYFUNCTION("AI(""Translate column R in French"")"),"Verre élégant et polyvalent, idéal pour diverses boissons, permettant d'apprécier leurs couleurs et textures.")</f>
        <v>Verre élégant et polyvalent, idéal pour diverses boissons, permettant d'apprécier leurs couleurs et textures.</v>
      </c>
      <c r="T60" s="5" t="str">
        <f>IFERROR(__xludf.DUMMYFUNCTION("AI(""DO A SENTIMENT ANALYSIS FOR THIS TABLE"")"),"Positive")</f>
        <v>Positive</v>
      </c>
    </row>
    <row r="61" ht="22.5" customHeight="1">
      <c r="A61" s="4">
        <v>60.0</v>
      </c>
      <c r="B61" s="4" t="s">
        <v>281</v>
      </c>
      <c r="C61" s="4" t="s">
        <v>282</v>
      </c>
      <c r="D61" s="4" t="s">
        <v>236</v>
      </c>
      <c r="E61" s="4">
        <v>10.99</v>
      </c>
      <c r="F61" s="4">
        <v>3.56</v>
      </c>
      <c r="G61" s="4">
        <v>3.21</v>
      </c>
      <c r="H61" s="4">
        <v>84.0</v>
      </c>
      <c r="I61" s="4" t="s">
        <v>283</v>
      </c>
      <c r="K61" s="4">
        <v>3.0</v>
      </c>
      <c r="L61" s="4" t="s">
        <v>56</v>
      </c>
      <c r="M61" s="4" t="s">
        <v>50</v>
      </c>
      <c r="N61" s="4" t="s">
        <v>27</v>
      </c>
      <c r="O61" s="4" t="s">
        <v>284</v>
      </c>
      <c r="P61" s="4" t="s">
        <v>108</v>
      </c>
      <c r="Q61" s="4">
        <v>5.0</v>
      </c>
      <c r="R61" s="5" t="str">
        <f>IFERROR(__xludf.DUMMYFUNCTION("AI(""Summarize this description using 10 words"")"),"Efficient black kitchen tool for easy grating with sharp blades.")</f>
        <v>Efficient black kitchen tool for easy grating with sharp blades.</v>
      </c>
      <c r="S61" s="5" t="str">
        <f>IFERROR(__xludf.DUMMYFUNCTION("AI(""Translate column R in French"")"),"Râpe noire pratique pour râper le fromage et les légumes avec un design élégant et efficace.")</f>
        <v>Râpe noire pratique pour râper le fromage et les légumes avec un design élégant et efficace.</v>
      </c>
      <c r="T61" s="5" t="str">
        <f>IFERROR(__xludf.DUMMYFUNCTION("AI(""DO A SENTIMENT ANALYSIS FOR THIS TABLE"")"),"Mixed")</f>
        <v>Mixed</v>
      </c>
    </row>
    <row r="62" ht="22.5" customHeight="1">
      <c r="A62" s="4">
        <v>61.0</v>
      </c>
      <c r="B62" s="4" t="s">
        <v>285</v>
      </c>
      <c r="C62" s="4" t="s">
        <v>286</v>
      </c>
      <c r="D62" s="4" t="s">
        <v>236</v>
      </c>
      <c r="E62" s="4">
        <v>34.99</v>
      </c>
      <c r="F62" s="4">
        <v>17.02</v>
      </c>
      <c r="G62" s="4">
        <v>3.86</v>
      </c>
      <c r="H62" s="4">
        <v>84.0</v>
      </c>
      <c r="I62" s="4" t="s">
        <v>248</v>
      </c>
      <c r="K62" s="4">
        <v>5.0</v>
      </c>
      <c r="L62" s="4" t="s">
        <v>34</v>
      </c>
      <c r="M62" s="4" t="s">
        <v>50</v>
      </c>
      <c r="N62" s="4" t="s">
        <v>27</v>
      </c>
      <c r="O62" s="4" t="s">
        <v>287</v>
      </c>
      <c r="P62" s="4" t="s">
        <v>29</v>
      </c>
      <c r="Q62" s="4">
        <v>11.0</v>
      </c>
      <c r="R62" s="5" t="str">
        <f>IFERROR(__xludf.DUMMYFUNCTION("AI(""Summarize this description using 10 words"")"),"Versatile, compact kitchen tool for blending, pureeing, and mixing ingredients.")</f>
        <v>Versatile, compact kitchen tool for blending, pureeing, and mixing ingredients.</v>
      </c>
      <c r="S62" s="5" t="str">
        <f>IFERROR(__xludf.DUMMYFUNCTION("AI(""Translate column R in French"")"),"Mixeur plongeant polyvalent pour mélanger, réduire en purée et mixer avec un design compact et un moteur puissant.")</f>
        <v>Mixeur plongeant polyvalent pour mélanger, réduire en purée et mixer avec un design compact et un moteur puissant.</v>
      </c>
      <c r="T62" s="5" t="str">
        <f>IFERROR(__xludf.DUMMYFUNCTION("AI(""DO A SENTIMENT ANALYSIS FOR THIS TABLE"")"),"Positive")</f>
        <v>Positive</v>
      </c>
    </row>
    <row r="63" ht="22.5" customHeight="1">
      <c r="A63" s="4">
        <v>62.0</v>
      </c>
      <c r="B63" s="4" t="s">
        <v>288</v>
      </c>
      <c r="C63" s="4" t="s">
        <v>289</v>
      </c>
      <c r="D63" s="4" t="s">
        <v>236</v>
      </c>
      <c r="E63" s="4">
        <v>5.99</v>
      </c>
      <c r="F63" s="4">
        <v>0.63</v>
      </c>
      <c r="G63" s="4">
        <v>4.71</v>
      </c>
      <c r="H63" s="4">
        <v>13.0</v>
      </c>
      <c r="I63" s="4" t="s">
        <v>290</v>
      </c>
      <c r="K63" s="4">
        <v>3.0</v>
      </c>
      <c r="L63" s="4" t="s">
        <v>56</v>
      </c>
      <c r="M63" s="4" t="s">
        <v>57</v>
      </c>
      <c r="N63" s="4" t="s">
        <v>27</v>
      </c>
      <c r="O63" s="4" t="s">
        <v>291</v>
      </c>
      <c r="P63" s="4" t="s">
        <v>29</v>
      </c>
      <c r="Q63" s="4">
        <v>16.0</v>
      </c>
      <c r="R63" s="5" t="str">
        <f>IFERROR(__xludf.DUMMYFUNCTION("AI(""Summarize this description using 10 words"")"),"Practical tray creates various shaped ice cubes for cool drinks.")</f>
        <v>Practical tray creates various shaped ice cubes for cool drinks.</v>
      </c>
      <c r="S63" s="5" t="str">
        <f>IFERROR(__xludf.DUMMYFUNCTION("AI(""Translate column R in French"")"),"Bac à glaçons pratique pour créer des glaçons de formes variées, idéal pour rafraîchir vos boissons.")</f>
        <v>Bac à glaçons pratique pour créer des glaçons de formes variées, idéal pour rafraîchir vos boissons.</v>
      </c>
      <c r="T63" s="5" t="str">
        <f>IFERROR(__xludf.DUMMYFUNCTION("AI(""DO A SENTIMENT ANALYSIS FOR THIS TABLE"")"),"Positive")</f>
        <v>Positive</v>
      </c>
    </row>
    <row r="64" ht="22.5" customHeight="1">
      <c r="A64" s="4">
        <v>63.0</v>
      </c>
      <c r="B64" s="4" t="s">
        <v>292</v>
      </c>
      <c r="C64" s="4" t="s">
        <v>293</v>
      </c>
      <c r="D64" s="4" t="s">
        <v>236</v>
      </c>
      <c r="E64" s="4">
        <v>7.99</v>
      </c>
      <c r="F64" s="4">
        <v>18.91</v>
      </c>
      <c r="G64" s="4">
        <v>3.09</v>
      </c>
      <c r="H64" s="4">
        <v>68.0</v>
      </c>
      <c r="I64" s="4" t="s">
        <v>272</v>
      </c>
      <c r="K64" s="4">
        <v>5.0</v>
      </c>
      <c r="L64" s="4" t="s">
        <v>56</v>
      </c>
      <c r="M64" s="4" t="s">
        <v>57</v>
      </c>
      <c r="N64" s="4" t="s">
        <v>27</v>
      </c>
      <c r="O64" s="4" t="s">
        <v>294</v>
      </c>
      <c r="P64" s="4" t="s">
        <v>29</v>
      </c>
      <c r="Q64" s="4">
        <v>5.0</v>
      </c>
      <c r="R64" s="5" t="str">
        <f>IFERROR(__xludf.DUMMYFUNCTION("AI(""Summarize this description using 10 words"")"),"Versatile tool for sifting and straining ingredients with fine mesh.")</f>
        <v>Versatile tool for sifting and straining ingredients with fine mesh.</v>
      </c>
      <c r="S64" s="5" t="str">
        <f>IFERROR(__xludf.DUMMYFUNCTION("AI(""Translate column R in French"")"),"Tamis de cuisine polyvalent pour tamiser et filtrer les ingrédients secs et humides. Son design à mailles fines garantit des résultats onctueux pour votre cuisine et votre pâtisserie.")</f>
        <v>Tamis de cuisine polyvalent pour tamiser et filtrer les ingrédients secs et humides. Son design à mailles fines garantit des résultats onctueux pour votre cuisine et votre pâtisserie.</v>
      </c>
      <c r="T64" s="5" t="str">
        <f>IFERROR(__xludf.DUMMYFUNCTION("AI(""DO A SENTIMENT ANALYSIS FOR THIS TABLE"")"),"Positive")</f>
        <v>Positive</v>
      </c>
    </row>
    <row r="65" ht="22.5" customHeight="1">
      <c r="A65" s="4">
        <v>64.0</v>
      </c>
      <c r="B65" s="4" t="s">
        <v>295</v>
      </c>
      <c r="C65" s="4" t="s">
        <v>296</v>
      </c>
      <c r="D65" s="4" t="s">
        <v>236</v>
      </c>
      <c r="E65" s="4">
        <v>14.99</v>
      </c>
      <c r="F65" s="4">
        <v>18.86</v>
      </c>
      <c r="G65" s="4">
        <v>3.26</v>
      </c>
      <c r="H65" s="4">
        <v>7.0</v>
      </c>
      <c r="I65" s="4" t="s">
        <v>297</v>
      </c>
      <c r="K65" s="4">
        <v>3.0</v>
      </c>
      <c r="L65" s="4" t="s">
        <v>56</v>
      </c>
      <c r="M65" s="4" t="s">
        <v>50</v>
      </c>
      <c r="N65" s="4" t="s">
        <v>78</v>
      </c>
      <c r="O65" s="4" t="s">
        <v>298</v>
      </c>
      <c r="P65" s="4" t="s">
        <v>37</v>
      </c>
      <c r="Q65" s="4">
        <v>50.0</v>
      </c>
      <c r="R65" s="5" t="str">
        <f>IFERROR(__xludf.DUMMYFUNCTION("AI(""Summarize this description using 10 words"")"),"Essential kitchen tool for chopping, slicing, dicing, and food preparation.")</f>
        <v>Essential kitchen tool for chopping, slicing, dicing, and food preparation.</v>
      </c>
      <c r="S65" s="5" t="str">
        <f>IFERROR(__xludf.DUMMYFUNCTION("AI(""Translate column R in French"")"),"Outil de cuisine essentiel avec une lame tranchante et un manche ergonomique pour hacher, trancher et couper en dés.")</f>
        <v>Outil de cuisine essentiel avec une lame tranchante et un manche ergonomique pour hacher, trancher et couper en dés.</v>
      </c>
      <c r="T65" s="5" t="str">
        <f>IFERROR(__xludf.DUMMYFUNCTION("AI(""DO A SENTIMENT ANALYSIS FOR THIS TABLE"")"),"Positive")</f>
        <v>Positive</v>
      </c>
    </row>
    <row r="66" ht="22.5" customHeight="1">
      <c r="A66" s="4">
        <v>65.0</v>
      </c>
      <c r="B66" s="4" t="s">
        <v>299</v>
      </c>
      <c r="C66" s="4" t="s">
        <v>300</v>
      </c>
      <c r="D66" s="4" t="s">
        <v>236</v>
      </c>
      <c r="E66" s="4">
        <v>12.99</v>
      </c>
      <c r="F66" s="4">
        <v>10.34</v>
      </c>
      <c r="G66" s="4">
        <v>4.93</v>
      </c>
      <c r="H66" s="4">
        <v>94.0</v>
      </c>
      <c r="I66" s="4" t="s">
        <v>301</v>
      </c>
      <c r="K66" s="4">
        <v>9.0</v>
      </c>
      <c r="L66" s="4" t="s">
        <v>100</v>
      </c>
      <c r="M66" s="4" t="s">
        <v>43</v>
      </c>
      <c r="N66" s="4" t="s">
        <v>27</v>
      </c>
      <c r="O66" s="4" t="s">
        <v>302</v>
      </c>
      <c r="P66" s="4" t="s">
        <v>134</v>
      </c>
      <c r="Q66" s="4">
        <v>39.0</v>
      </c>
      <c r="R66" s="5" t="str">
        <f>IFERROR(__xludf.DUMMYFUNCTION("AI(""Summarize this description using 10 words"")"),"Portable meal container with compartments for packing and carrying meals.")</f>
        <v>Portable meal container with compartments for packing and carrying meals.</v>
      </c>
      <c r="S66" s="5" t="str">
        <f>IFERROR(__xludf.DUMMYFUNCTION("AI(""Translate column R in French"")"),"Boîte à lunch pratique et portable avec compartiments pour des repas en déplacement.")</f>
        <v>Boîte à lunch pratique et portable avec compartiments pour des repas en déplacement.</v>
      </c>
      <c r="T66" s="5" t="str">
        <f>IFERROR(__xludf.DUMMYFUNCTION("AI(""DO A SENTIMENT ANALYSIS FOR THIS TABLE"")"),"Positive")</f>
        <v>Positive</v>
      </c>
    </row>
    <row r="67" ht="22.5" customHeight="1">
      <c r="A67" s="4">
        <v>66.0</v>
      </c>
      <c r="B67" s="4" t="s">
        <v>303</v>
      </c>
      <c r="C67" s="4" t="s">
        <v>304</v>
      </c>
      <c r="D67" s="4" t="s">
        <v>236</v>
      </c>
      <c r="E67" s="4">
        <v>89.99</v>
      </c>
      <c r="F67" s="4">
        <v>12.13</v>
      </c>
      <c r="G67" s="4">
        <v>4.82</v>
      </c>
      <c r="H67" s="4">
        <v>59.0</v>
      </c>
      <c r="I67" s="4" t="s">
        <v>305</v>
      </c>
      <c r="K67" s="4">
        <v>9.0</v>
      </c>
      <c r="L67" s="4" t="s">
        <v>34</v>
      </c>
      <c r="M67" s="4" t="s">
        <v>50</v>
      </c>
      <c r="N67" s="4" t="s">
        <v>27</v>
      </c>
      <c r="O67" s="4" t="s">
        <v>306</v>
      </c>
      <c r="P67" s="4" t="s">
        <v>37</v>
      </c>
      <c r="Q67" s="4">
        <v>4.0</v>
      </c>
      <c r="R67" s="5" t="str">
        <f>IFERROR(__xludf.DUMMYFUNCTION("AI(""Summarize this description using 10 words"")"),"Versatile kitchen appliance for quick cooking, reheating, and efficient defrosting.")</f>
        <v>Versatile kitchen appliance for quick cooking, reheating, and efficient defrosting.</v>
      </c>
      <c r="S67" s="5" t="str">
        <f>IFERROR(__xludf.DUMMYFUNCTION("AI(""Translate column R in French"")"),"Four à micro-ondes polyvalent pour une cuisson, un réchauffage et une décongélation rapides et efficaces.")</f>
        <v>Four à micro-ondes polyvalent pour une cuisson, un réchauffage et une décongélation rapides et efficaces.</v>
      </c>
      <c r="T67" s="5" t="str">
        <f>IFERROR(__xludf.DUMMYFUNCTION("AI(""DO A SENTIMENT ANALYSIS FOR THIS TABLE"")"),"Mixed")</f>
        <v>Mixed</v>
      </c>
    </row>
    <row r="68" ht="22.5" customHeight="1">
      <c r="A68" s="4">
        <v>67.0</v>
      </c>
      <c r="B68" s="4" t="s">
        <v>307</v>
      </c>
      <c r="C68" s="4" t="s">
        <v>308</v>
      </c>
      <c r="D68" s="4" t="s">
        <v>236</v>
      </c>
      <c r="E68" s="4">
        <v>15.99</v>
      </c>
      <c r="F68" s="4">
        <v>9.25</v>
      </c>
      <c r="G68" s="4">
        <v>2.64</v>
      </c>
      <c r="H68" s="4">
        <v>88.0</v>
      </c>
      <c r="I68" s="4" t="s">
        <v>309</v>
      </c>
      <c r="K68" s="4">
        <v>3.0</v>
      </c>
      <c r="L68" s="4" t="s">
        <v>34</v>
      </c>
      <c r="M68" s="4" t="s">
        <v>77</v>
      </c>
      <c r="N68" s="4" t="s">
        <v>27</v>
      </c>
      <c r="O68" s="4" t="s">
        <v>310</v>
      </c>
      <c r="P68" s="4" t="s">
        <v>134</v>
      </c>
      <c r="Q68" s="4">
        <v>45.0</v>
      </c>
      <c r="R68" s="5" t="str">
        <f>IFERROR(__xludf.DUMMYFUNCTION("AI(""Summarize this description using 10 words"")"),"Stylish, space-saving kitchen organizer to keep mugs accessible and neat.")</f>
        <v>Stylish, space-saving kitchen organizer to keep mugs accessible and neat.</v>
      </c>
      <c r="S68" s="5" t="str">
        <f>IFERROR(__xludf.DUMMYFUNCTION("AI(""Translate column R in French"")"),"Solution élégante et peu encombrante pour organiser et exposer les tasses dans la cuisine.")</f>
        <v>Solution élégante et peu encombrante pour organiser et exposer les tasses dans la cuisine.</v>
      </c>
      <c r="T68" s="5" t="str">
        <f>IFERROR(__xludf.DUMMYFUNCTION("AI(""DO A SENTIMENT ANALYSIS FOR THIS TABLE"")"),"Mixed")</f>
        <v>Mixed</v>
      </c>
    </row>
    <row r="69" ht="22.5" customHeight="1">
      <c r="A69" s="4">
        <v>68.0</v>
      </c>
      <c r="B69" s="4" t="s">
        <v>311</v>
      </c>
      <c r="C69" s="4" t="s">
        <v>312</v>
      </c>
      <c r="D69" s="4" t="s">
        <v>236</v>
      </c>
      <c r="E69" s="4">
        <v>24.99</v>
      </c>
      <c r="F69" s="4">
        <v>3.0</v>
      </c>
      <c r="G69" s="4">
        <v>2.79</v>
      </c>
      <c r="H69" s="4">
        <v>90.0</v>
      </c>
      <c r="I69" s="4" t="s">
        <v>313</v>
      </c>
      <c r="K69" s="4">
        <v>8.0</v>
      </c>
      <c r="L69" s="4" t="s">
        <v>34</v>
      </c>
      <c r="M69" s="4" t="s">
        <v>26</v>
      </c>
      <c r="N69" s="4" t="s">
        <v>27</v>
      </c>
      <c r="O69" s="4" t="s">
        <v>314</v>
      </c>
      <c r="P69" s="4" t="s">
        <v>134</v>
      </c>
      <c r="Q69" s="4">
        <v>17.0</v>
      </c>
      <c r="R69" s="5" t="str">
        <f>IFERROR(__xludf.DUMMYFUNCTION("AI(""Summarize this description using 10 words"")"),"Versatile non-stick pan for frying and sautéing with easy cleanup.")</f>
        <v>Versatile non-stick pan for frying and sautéing with easy cleanup.</v>
      </c>
      <c r="S69" s="5" t="str">
        <f>IFERROR(__xludf.DUMMYFUNCTION("AI(""Translate column R in French"")"),"Poêle polyvalente et essentielle avec revêtement antiadhésif pour frire, sauter et un nettoyage facile.")</f>
        <v>Poêle polyvalente et essentielle avec revêtement antiadhésif pour frire, sauter et un nettoyage facile.</v>
      </c>
      <c r="T69" s="5" t="str">
        <f>IFERROR(__xludf.DUMMYFUNCTION("AI(""DO A SENTIMENT ANALYSIS FOR THIS TABLE"")"),"Mixed")</f>
        <v>Mixed</v>
      </c>
    </row>
    <row r="70" ht="22.5" customHeight="1">
      <c r="A70" s="4">
        <v>69.0</v>
      </c>
      <c r="B70" s="4" t="s">
        <v>315</v>
      </c>
      <c r="C70" s="4" t="s">
        <v>316</v>
      </c>
      <c r="D70" s="4" t="s">
        <v>236</v>
      </c>
      <c r="E70" s="4">
        <v>3.99</v>
      </c>
      <c r="F70" s="4">
        <v>7.31</v>
      </c>
      <c r="G70" s="4">
        <v>3.65</v>
      </c>
      <c r="H70" s="4">
        <v>66.0</v>
      </c>
      <c r="I70" s="4" t="s">
        <v>317</v>
      </c>
      <c r="K70" s="4">
        <v>4.0</v>
      </c>
      <c r="L70" s="4" t="s">
        <v>34</v>
      </c>
      <c r="M70" s="4" t="s">
        <v>43</v>
      </c>
      <c r="N70" s="4" t="s">
        <v>27</v>
      </c>
      <c r="O70" s="4" t="s">
        <v>318</v>
      </c>
      <c r="P70" s="4" t="s">
        <v>65</v>
      </c>
      <c r="Q70" s="4">
        <v>6.0</v>
      </c>
      <c r="R70" s="5" t="str">
        <f>IFERROR(__xludf.DUMMYFUNCTION("AI(""Summarize this description using 10 words"")"),"Classic, durable, stylish dishware for daily meals and special occasions.")</f>
        <v>Classic, durable, stylish dishware for daily meals and special occasions.</v>
      </c>
      <c r="S70" s="5" t="str">
        <f>IFERROR(__xludf.DUMMYFUNCTION("AI(""Translate column R in French"")"),"Assiette classique et indispensable pour servir les repas, au design durable et élégant.")</f>
        <v>Assiette classique et indispensable pour servir les repas, au design durable et élégant.</v>
      </c>
      <c r="T70" s="5" t="str">
        <f>IFERROR(__xludf.DUMMYFUNCTION("AI(""DO A SENTIMENT ANALYSIS FOR THIS TABLE"")"),"Mixed")</f>
        <v>Mixed</v>
      </c>
    </row>
    <row r="71" ht="22.5" customHeight="1">
      <c r="A71" s="4">
        <v>70.0</v>
      </c>
      <c r="B71" s="4" t="s">
        <v>319</v>
      </c>
      <c r="C71" s="4" t="s">
        <v>320</v>
      </c>
      <c r="D71" s="4" t="s">
        <v>236</v>
      </c>
      <c r="E71" s="4">
        <v>6.99</v>
      </c>
      <c r="F71" s="4">
        <v>14.52</v>
      </c>
      <c r="G71" s="4">
        <v>4.42</v>
      </c>
      <c r="H71" s="4">
        <v>82.0</v>
      </c>
      <c r="I71" s="4" t="s">
        <v>321</v>
      </c>
      <c r="K71" s="4">
        <v>7.0</v>
      </c>
      <c r="L71" s="4" t="s">
        <v>142</v>
      </c>
      <c r="M71" s="4" t="s">
        <v>50</v>
      </c>
      <c r="N71" s="4" t="s">
        <v>27</v>
      </c>
      <c r="O71" s="4" t="s">
        <v>322</v>
      </c>
      <c r="P71" s="4" t="s">
        <v>134</v>
      </c>
      <c r="Q71" s="4">
        <v>23.0</v>
      </c>
      <c r="R71" s="5" t="str">
        <f>IFERROR(__xludf.DUMMYFUNCTION("AI(""Summarize this description using 10 words"")"),"Versatile kitchen tongs suitable for various cooking and serving tasks")</f>
        <v>Versatile kitchen tongs suitable for various cooking and serving tasks</v>
      </c>
      <c r="S71" s="5" t="str">
        <f>IFERROR(__xludf.DUMMYFUNCTION("AI(""Translate column R in French"")"),"Pinces de cuisine rouges polyvalentes pour diverses tâches de cuisson et de service avec une couleur éclatante.")</f>
        <v>Pinces de cuisine rouges polyvalentes pour diverses tâches de cuisson et de service avec une couleur éclatante.</v>
      </c>
      <c r="T71" s="5" t="str">
        <f>IFERROR(__xludf.DUMMYFUNCTION("AI(""DO A SENTIMENT ANALYSIS FOR THIS TABLE"")"),"Positive")</f>
        <v>Positive</v>
      </c>
    </row>
    <row r="72" ht="22.5" customHeight="1">
      <c r="A72" s="4">
        <v>71.0</v>
      </c>
      <c r="B72" s="4" t="s">
        <v>323</v>
      </c>
      <c r="C72" s="4" t="s">
        <v>324</v>
      </c>
      <c r="D72" s="4" t="s">
        <v>236</v>
      </c>
      <c r="E72" s="4">
        <v>39.99</v>
      </c>
      <c r="F72" s="4">
        <v>5.7</v>
      </c>
      <c r="G72" s="4">
        <v>3.22</v>
      </c>
      <c r="H72" s="4">
        <v>40.0</v>
      </c>
      <c r="I72" s="4" t="s">
        <v>325</v>
      </c>
      <c r="K72" s="4">
        <v>7.0</v>
      </c>
      <c r="L72" s="4" t="s">
        <v>34</v>
      </c>
      <c r="M72" s="4" t="s">
        <v>77</v>
      </c>
      <c r="N72" s="4" t="s">
        <v>27</v>
      </c>
      <c r="O72" s="4" t="s">
        <v>326</v>
      </c>
      <c r="P72" s="4" t="s">
        <v>65</v>
      </c>
      <c r="Q72" s="4">
        <v>10.0</v>
      </c>
      <c r="R72" s="5" t="str">
        <f>IFERROR(__xludf.DUMMYFUNCTION("AI(""Summarize this description using 10 words"")"),"Stylish silver pot for boiling and simmering with glass cap.")</f>
        <v>Stylish silver pot for boiling and simmering with glass cap.</v>
      </c>
      <c r="S72" s="5" t="str">
        <f>IFERROR(__xludf.DUMMYFUNCTION("AI(""Translate column R in French"")"),"Marmite en argent élégante et fonctionnelle avec couvercle en verre pour préparer de délicieux repas.")</f>
        <v>Marmite en argent élégante et fonctionnelle avec couvercle en verre pour préparer de délicieux repas.</v>
      </c>
      <c r="T72" s="5" t="str">
        <f>IFERROR(__xludf.DUMMYFUNCTION("AI(""DO A SENTIMENT ANALYSIS FOR THIS TABLE"")"),"Mixed")</f>
        <v>Mixed</v>
      </c>
    </row>
    <row r="73" ht="22.5" customHeight="1">
      <c r="A73" s="4">
        <v>72.0</v>
      </c>
      <c r="B73" s="4" t="s">
        <v>327</v>
      </c>
      <c r="C73" s="4" t="s">
        <v>328</v>
      </c>
      <c r="D73" s="4" t="s">
        <v>236</v>
      </c>
      <c r="E73" s="4">
        <v>8.99</v>
      </c>
      <c r="F73" s="4">
        <v>13.35</v>
      </c>
      <c r="G73" s="4">
        <v>3.4</v>
      </c>
      <c r="H73" s="4">
        <v>88.0</v>
      </c>
      <c r="I73" s="4" t="s">
        <v>329</v>
      </c>
      <c r="K73" s="4">
        <v>8.0</v>
      </c>
      <c r="L73" s="4" t="s">
        <v>94</v>
      </c>
      <c r="M73" s="4" t="s">
        <v>43</v>
      </c>
      <c r="N73" s="4" t="s">
        <v>27</v>
      </c>
      <c r="O73" s="4" t="s">
        <v>330</v>
      </c>
      <c r="P73" s="4" t="s">
        <v>37</v>
      </c>
      <c r="Q73" s="4">
        <v>34.0</v>
      </c>
      <c r="R73" s="5" t="str">
        <f>IFERROR(__xludf.DUMMYFUNCTION("AI(""Summarize this description using 10 words"")"),"Slotted kitchen utensil for flipping food and draining excess liquid.")</f>
        <v>Slotted kitchen utensil for flipping food and draining excess liquid.</v>
      </c>
      <c r="S73" s="5" t="str">
        <f>IFERROR(__xludf.DUMMYFUNCTION("AI(""Translate column R in French"")"),"Spatule ajourée conçue pour retourner les aliments, permettant aux liquides de s'écouler.")</f>
        <v>Spatule ajourée conçue pour retourner les aliments, permettant aux liquides de s'écouler.</v>
      </c>
      <c r="T73" s="5" t="str">
        <f>IFERROR(__xludf.DUMMYFUNCTION("AI(""DO A SENTIMENT ANALYSIS FOR THIS TABLE"")"),"Mixed")</f>
        <v>Mixed</v>
      </c>
    </row>
    <row r="74" ht="22.5" customHeight="1">
      <c r="A74" s="4">
        <v>73.0</v>
      </c>
      <c r="B74" s="4" t="s">
        <v>331</v>
      </c>
      <c r="C74" s="4" t="s">
        <v>332</v>
      </c>
      <c r="D74" s="4" t="s">
        <v>236</v>
      </c>
      <c r="E74" s="4">
        <v>19.99</v>
      </c>
      <c r="F74" s="4">
        <v>12.09</v>
      </c>
      <c r="G74" s="4">
        <v>4.87</v>
      </c>
      <c r="H74" s="4">
        <v>79.0</v>
      </c>
      <c r="I74" s="4" t="s">
        <v>309</v>
      </c>
      <c r="K74" s="4">
        <v>7.0</v>
      </c>
      <c r="L74" s="4" t="s">
        <v>25</v>
      </c>
      <c r="M74" s="4" t="s">
        <v>57</v>
      </c>
      <c r="N74" s="4" t="s">
        <v>27</v>
      </c>
      <c r="O74" s="4" t="s">
        <v>333</v>
      </c>
      <c r="P74" s="4" t="s">
        <v>37</v>
      </c>
      <c r="Q74" s="4">
        <v>18.0</v>
      </c>
      <c r="R74" s="5" t="str">
        <f>IFERROR(__xludf.DUMMYFUNCTION("AI(""Summarize this description using 10 words"")"),"Stylish organizer keeps spices neatly arranged and within easy reach.")</f>
        <v>Stylish organizer keeps spices neatly arranged and within easy reach.</v>
      </c>
      <c r="S74" s="5" t="str">
        <f>IFERROR(__xludf.DUMMYFUNCTION("AI(""Translate column R in French"")"),"Étagère à épices pratique et élégante pour garder vos assaisonnements bien rangés et à portée de main.")</f>
        <v>Étagère à épices pratique et élégante pour garder vos assaisonnements bien rangés et à portée de main.</v>
      </c>
      <c r="T74" s="5" t="str">
        <f>IFERROR(__xludf.DUMMYFUNCTION("AI(""DO A SENTIMENT ANALYSIS FOR THIS TABLE"")"),"Mixed")</f>
        <v>Mixed</v>
      </c>
    </row>
    <row r="75" ht="22.5" customHeight="1">
      <c r="A75" s="4">
        <v>74.0</v>
      </c>
      <c r="B75" s="4" t="s">
        <v>334</v>
      </c>
      <c r="C75" s="4" t="s">
        <v>335</v>
      </c>
      <c r="D75" s="4" t="s">
        <v>236</v>
      </c>
      <c r="E75" s="4">
        <v>4.99</v>
      </c>
      <c r="F75" s="4">
        <v>1.53</v>
      </c>
      <c r="G75" s="4">
        <v>4.03</v>
      </c>
      <c r="H75" s="4">
        <v>59.0</v>
      </c>
      <c r="I75" s="4" t="s">
        <v>237</v>
      </c>
      <c r="K75" s="4">
        <v>6.0</v>
      </c>
      <c r="L75" s="4" t="s">
        <v>34</v>
      </c>
      <c r="M75" s="4" t="s">
        <v>43</v>
      </c>
      <c r="N75" s="4" t="s">
        <v>27</v>
      </c>
      <c r="O75" s="4" t="s">
        <v>336</v>
      </c>
      <c r="P75" s="4" t="s">
        <v>65</v>
      </c>
      <c r="Q75" s="4">
        <v>15.0</v>
      </c>
      <c r="R75" s="5" t="str">
        <f>IFERROR(__xludf.DUMMYFUNCTION("AI(""Summarize this description using 10 words"")"),"Versatile, ergonomic, and durable spoon for stirring, serving, and tasting.")</f>
        <v>Versatile, ergonomic, and durable spoon for stirring, serving, and tasting.</v>
      </c>
      <c r="S75" s="5" t="str">
        <f>IFERROR(__xludf.DUMMYFUNCTION("AI(""Translate column R in French"")"),"Ustensile de cuisine polyvalent pour remuer, servir et goûter, doté d'un design ergonomique et d'une construction durable.")</f>
        <v>Ustensile de cuisine polyvalent pour remuer, servir et goûter, doté d'un design ergonomique et d'une construction durable.</v>
      </c>
      <c r="T75" s="5" t="str">
        <f>IFERROR(__xludf.DUMMYFUNCTION("AI(""DO A SENTIMENT ANALYSIS FOR THIS TABLE"")"),"Mixed")</f>
        <v>Mixed</v>
      </c>
    </row>
    <row r="76" ht="22.5" customHeight="1">
      <c r="A76" s="4">
        <v>75.0</v>
      </c>
      <c r="B76" s="4" t="s">
        <v>337</v>
      </c>
      <c r="C76" s="4" t="s">
        <v>338</v>
      </c>
      <c r="D76" s="4" t="s">
        <v>236</v>
      </c>
      <c r="E76" s="4">
        <v>16.99</v>
      </c>
      <c r="F76" s="4">
        <v>7.48</v>
      </c>
      <c r="G76" s="4">
        <v>4.62</v>
      </c>
      <c r="H76" s="4">
        <v>71.0</v>
      </c>
      <c r="I76" s="4" t="s">
        <v>339</v>
      </c>
      <c r="K76" s="4">
        <v>10.0</v>
      </c>
      <c r="L76" s="4" t="s">
        <v>100</v>
      </c>
      <c r="M76" s="4" t="s">
        <v>35</v>
      </c>
      <c r="N76" s="4" t="s">
        <v>27</v>
      </c>
      <c r="O76" s="4" t="s">
        <v>340</v>
      </c>
      <c r="P76" s="4" t="s">
        <v>37</v>
      </c>
      <c r="Q76" s="4">
        <v>23.0</v>
      </c>
      <c r="R76" s="5" t="str">
        <f>IFERROR(__xludf.DUMMYFUNCTION("AI(""Summarize this description using 10 words"")"),"Versatile and stylish tray for serving snacks and entertaining guests")</f>
        <v>Versatile and stylish tray for serving snacks and entertaining guests</v>
      </c>
      <c r="S76" s="5" t="str">
        <f>IFERROR(__xludf.DUMMYFUNCTION("AI(""Translate column R in French"")"),"Le plateau est un article fonctionnel et décoratif pour servir des collations, des amuse-bouches ou des boissons. Son design élégant en fait un accessoire polyvalent pour recevoir des invités.")</f>
        <v>Le plateau est un article fonctionnel et décoratif pour servir des collations, des amuse-bouches ou des boissons. Son design élégant en fait un accessoire polyvalent pour recevoir des invités.</v>
      </c>
      <c r="T76" s="5" t="str">
        <f>IFERROR(__xludf.DUMMYFUNCTION("AI(""DO A SENTIMENT ANALYSIS FOR THIS TABLE"")"),"Positive")</f>
        <v>Positive</v>
      </c>
    </row>
    <row r="77" ht="22.5" customHeight="1">
      <c r="A77" s="4">
        <v>76.0</v>
      </c>
      <c r="B77" s="4" t="s">
        <v>341</v>
      </c>
      <c r="C77" s="4" t="s">
        <v>342</v>
      </c>
      <c r="D77" s="4" t="s">
        <v>236</v>
      </c>
      <c r="E77" s="4">
        <v>11.99</v>
      </c>
      <c r="F77" s="4">
        <v>9.75</v>
      </c>
      <c r="G77" s="4">
        <v>2.92</v>
      </c>
      <c r="H77" s="4">
        <v>80.0</v>
      </c>
      <c r="I77" s="4" t="s">
        <v>343</v>
      </c>
      <c r="K77" s="4">
        <v>7.0</v>
      </c>
      <c r="L77" s="4" t="s">
        <v>49</v>
      </c>
      <c r="M77" s="4" t="s">
        <v>35</v>
      </c>
      <c r="N77" s="4" t="s">
        <v>27</v>
      </c>
      <c r="O77" s="4" t="s">
        <v>344</v>
      </c>
      <c r="P77" s="4" t="s">
        <v>134</v>
      </c>
      <c r="Q77" s="4">
        <v>11.0</v>
      </c>
      <c r="R77" s="5" t="str">
        <f>IFERROR(__xludf.DUMMYFUNCTION("AI(""Summarize this description using 10 words"")"),"Classic wooden tool for rolling dough to achieve uniform thickness.")</f>
        <v>Classic wooden tool for rolling dough to achieve uniform thickness.</v>
      </c>
      <c r="S77" s="5" t="str">
        <f>IFERROR(__xludf.DUMMYFUNCTION("AI(""Translate column R in French"")"),"Rouleau à pâtisserie en bois classique pour étaler la pâte avec une épaisseur uniforme.")</f>
        <v>Rouleau à pâtisserie en bois classique pour étaler la pâte avec une épaisseur uniforme.</v>
      </c>
      <c r="T77" s="5" t="str">
        <f>IFERROR(__xludf.DUMMYFUNCTION("AI(""DO A SENTIMENT ANALYSIS FOR THIS TABLE"")"),"Mixed")</f>
        <v>Mixed</v>
      </c>
    </row>
    <row r="78" ht="22.5" customHeight="1">
      <c r="A78" s="4">
        <v>77.0</v>
      </c>
      <c r="B78" s="4" t="s">
        <v>345</v>
      </c>
      <c r="C78" s="4" t="s">
        <v>346</v>
      </c>
      <c r="D78" s="4" t="s">
        <v>236</v>
      </c>
      <c r="E78" s="4">
        <v>5.99</v>
      </c>
      <c r="F78" s="4">
        <v>12.48</v>
      </c>
      <c r="G78" s="4">
        <v>4.24</v>
      </c>
      <c r="H78" s="4">
        <v>35.0</v>
      </c>
      <c r="I78" s="4" t="s">
        <v>347</v>
      </c>
      <c r="K78" s="4">
        <v>7.0</v>
      </c>
      <c r="L78" s="4" t="s">
        <v>56</v>
      </c>
      <c r="M78" s="4" t="s">
        <v>26</v>
      </c>
      <c r="N78" s="4" t="s">
        <v>27</v>
      </c>
      <c r="O78" s="4" t="s">
        <v>348</v>
      </c>
      <c r="P78" s="4" t="s">
        <v>65</v>
      </c>
      <c r="Q78" s="4">
        <v>6.0</v>
      </c>
      <c r="R78" s="5" t="str">
        <f>IFERROR(__xludf.DUMMYFUNCTION("AI(""Summarize this description using 10 words"")"),"Handy yellow tool for peeling fruits and vegetables with ease.")</f>
        <v>Handy yellow tool for peeling fruits and vegetables with ease.</v>
      </c>
      <c r="S78" s="5" t="str">
        <f>IFERROR(__xludf.DUMMYFUNCTION("AI(""Translate column R in French"")"),"Éplucheur jaune pratique pour peler fruits et légumes facilement, avec une touche gaie.")</f>
        <v>Éplucheur jaune pratique pour peler fruits et légumes facilement, avec une touche gaie.</v>
      </c>
      <c r="T78" s="5" t="str">
        <f>IFERROR(__xludf.DUMMYFUNCTION("AI(""DO A SENTIMENT ANALYSIS FOR THIS TABLE"")"),"Mixed")</f>
        <v>Mixed</v>
      </c>
    </row>
    <row r="79" ht="22.5" customHeight="1">
      <c r="A79" s="4">
        <v>78.0</v>
      </c>
      <c r="B79" s="4" t="s">
        <v>349</v>
      </c>
      <c r="C79" s="4" t="s">
        <v>350</v>
      </c>
      <c r="D79" s="4" t="s">
        <v>351</v>
      </c>
      <c r="E79" s="4">
        <v>1999.99</v>
      </c>
      <c r="F79" s="4">
        <v>4.69</v>
      </c>
      <c r="G79" s="4">
        <v>3.65</v>
      </c>
      <c r="H79" s="4">
        <v>24.0</v>
      </c>
      <c r="I79" s="4" t="s">
        <v>352</v>
      </c>
      <c r="J79" s="4" t="s">
        <v>114</v>
      </c>
      <c r="K79" s="4">
        <v>9.0</v>
      </c>
      <c r="L79" s="4" t="s">
        <v>49</v>
      </c>
      <c r="M79" s="4" t="s">
        <v>35</v>
      </c>
      <c r="N79" s="4" t="s">
        <v>27</v>
      </c>
      <c r="O79" s="4" t="s">
        <v>353</v>
      </c>
      <c r="P79" s="4" t="s">
        <v>65</v>
      </c>
      <c r="Q79" s="4">
        <v>1.0</v>
      </c>
      <c r="R79" s="5" t="str">
        <f>IFERROR(__xludf.DUMMYFUNCTION("AI(""Summarize this description using 10 words"")"),"Powerful sleek laptop featuring M1 Pro chip and Retina display.")</f>
        <v>Powerful sleek laptop featuring M1 Pro chip and Retina display.</v>
      </c>
      <c r="S79" s="5" t="str">
        <f>IFERROR(__xludf.DUMMYFUNCTION("AI(""Translate column R in French"")"),"MacBook Pro 14 pouces puissant et élégant doté de la puce M1 Pro et d'un superbe écran Retina.")</f>
        <v>MacBook Pro 14 pouces puissant et élégant doté de la puce M1 Pro et d'un superbe écran Retina.</v>
      </c>
      <c r="T79" s="5" t="str">
        <f>IFERROR(__xludf.DUMMYFUNCTION("AI(""DO A SENTIMENT ANALYSIS FOR THIS TABLE"")"),"Positive")</f>
        <v>Positive</v>
      </c>
    </row>
    <row r="80" ht="22.5" customHeight="1">
      <c r="A80" s="4">
        <v>79.0</v>
      </c>
      <c r="B80" s="4" t="s">
        <v>354</v>
      </c>
      <c r="C80" s="4" t="s">
        <v>355</v>
      </c>
      <c r="D80" s="4" t="s">
        <v>351</v>
      </c>
      <c r="E80" s="4">
        <v>1799.99</v>
      </c>
      <c r="F80" s="4">
        <v>11.14</v>
      </c>
      <c r="G80" s="4">
        <v>3.95</v>
      </c>
      <c r="H80" s="4">
        <v>45.0</v>
      </c>
      <c r="I80" s="4" t="s">
        <v>356</v>
      </c>
      <c r="J80" s="4" t="s">
        <v>357</v>
      </c>
      <c r="K80" s="4">
        <v>9.0</v>
      </c>
      <c r="L80" s="4" t="s">
        <v>49</v>
      </c>
      <c r="M80" s="4" t="s">
        <v>77</v>
      </c>
      <c r="N80" s="4" t="s">
        <v>27</v>
      </c>
      <c r="O80" s="4" t="s">
        <v>358</v>
      </c>
      <c r="P80" s="4" t="s">
        <v>37</v>
      </c>
      <c r="Q80" s="4">
        <v>1.0</v>
      </c>
      <c r="R80" s="5" t="str">
        <f>IFERROR(__xludf.DUMMYFUNCTION("AI(""Summarize this description using 10 words"")"),"High performance dual screen laptop providing productivity and versatility for creatives.")</f>
        <v>High performance dual screen laptop providing productivity and versatility for creatives.</v>
      </c>
      <c r="S80" s="5" t="str">
        <f>IFERROR(__xludf.DUMMYFUNCTION("AI(""Translate column R in French"")"),"Ordinateur portable Asus Zenbook Pro à double écran haute performance, offrant productivité et polyvalence pour les professionnels de la création.")</f>
        <v>Ordinateur portable Asus Zenbook Pro à double écran haute performance, offrant productivité et polyvalence pour les professionnels de la création.</v>
      </c>
      <c r="T80" s="5" t="str">
        <f>IFERROR(__xludf.DUMMYFUNCTION("AI(""DO A SENTIMENT ANALYSIS FOR THIS TABLE"")"),"Positive")</f>
        <v>Positive</v>
      </c>
    </row>
    <row r="81" ht="22.5" customHeight="1">
      <c r="A81" s="4">
        <v>80.0</v>
      </c>
      <c r="B81" s="4" t="s">
        <v>359</v>
      </c>
      <c r="C81" s="4" t="s">
        <v>360</v>
      </c>
      <c r="D81" s="4" t="s">
        <v>351</v>
      </c>
      <c r="E81" s="4">
        <v>1399.99</v>
      </c>
      <c r="F81" s="4">
        <v>9.38</v>
      </c>
      <c r="G81" s="4">
        <v>4.98</v>
      </c>
      <c r="H81" s="4">
        <v>75.0</v>
      </c>
      <c r="I81" s="4" t="s">
        <v>356</v>
      </c>
      <c r="J81" s="4" t="s">
        <v>361</v>
      </c>
      <c r="K81" s="4">
        <v>9.0</v>
      </c>
      <c r="L81" s="4" t="s">
        <v>142</v>
      </c>
      <c r="M81" s="4" t="s">
        <v>57</v>
      </c>
      <c r="N81" s="4" t="s">
        <v>27</v>
      </c>
      <c r="O81" s="4" t="s">
        <v>362</v>
      </c>
      <c r="P81" s="4" t="s">
        <v>108</v>
      </c>
      <c r="Q81" s="4">
        <v>1.0</v>
      </c>
      <c r="R81" s="5" t="str">
        <f>IFERROR(__xludf.DUMMYFUNCTION("AI(""Summarize this description using 10 words"")"),"Slim, stylish laptop with high-resolution touchscreen for premium portable experience.")</f>
        <v>Slim, stylish laptop with high-resolution touchscreen for premium portable experience.</v>
      </c>
      <c r="S81" s="5" t="str">
        <f>IFERROR(__xludf.DUMMYFUNCTION("AI(""Translate column R in French"")"),"Ordinateur portable fin et élégant avec écran tactile haute résolution offrant une expérience haut de gamme en déplacement.")</f>
        <v>Ordinateur portable fin et élégant avec écran tactile haute résolution offrant une expérience haut de gamme en déplacement.</v>
      </c>
      <c r="T81" s="5" t="str">
        <f>IFERROR(__xludf.DUMMYFUNCTION("AI(""DO A SENTIMENT ANALYSIS FOR THIS TABLE"")"),"Positive")</f>
        <v>Positive</v>
      </c>
    </row>
    <row r="82" ht="22.5" customHeight="1">
      <c r="A82" s="4">
        <v>81.0</v>
      </c>
      <c r="B82" s="4" t="s">
        <v>363</v>
      </c>
      <c r="C82" s="4" t="s">
        <v>364</v>
      </c>
      <c r="D82" s="4" t="s">
        <v>351</v>
      </c>
      <c r="E82" s="4">
        <v>1099.99</v>
      </c>
      <c r="F82" s="4">
        <v>6.55</v>
      </c>
      <c r="G82" s="4">
        <v>2.86</v>
      </c>
      <c r="H82" s="4">
        <v>40.0</v>
      </c>
      <c r="I82" s="4" t="s">
        <v>356</v>
      </c>
      <c r="J82" s="4" t="s">
        <v>365</v>
      </c>
      <c r="K82" s="4">
        <v>9.0</v>
      </c>
      <c r="L82" s="4" t="s">
        <v>83</v>
      </c>
      <c r="M82" s="4" t="s">
        <v>35</v>
      </c>
      <c r="N82" s="4" t="s">
        <v>27</v>
      </c>
      <c r="O82" s="4" t="s">
        <v>366</v>
      </c>
      <c r="P82" s="4" t="s">
        <v>29</v>
      </c>
      <c r="Q82" s="4">
        <v>1.0</v>
      </c>
      <c r="R82" s="5" t="str">
        <f>IFERROR(__xludf.DUMMYFUNCTION("AI(""Summarize this description using 10 words"")"),"Portable 2-in-1 convertible laptop featuring a flexible hinge for versatility.")</f>
        <v>Portable 2-in-1 convertible laptop featuring a flexible hinge for versatility.</v>
      </c>
      <c r="S82" s="5" t="str">
        <f>IFERROR(__xludf.DUMMYFUNCTION("AI(""Translate column R in French"")"),"Ordinateur portable convertible 2-en-1 doté d'une charnière flexible, permettant une utilisation en mode ordinateur ou tablette, offrant polyvalence et portabilité.")</f>
        <v>Ordinateur portable convertible 2-en-1 doté d'une charnière flexible, permettant une utilisation en mode ordinateur ou tablette, offrant polyvalence et portabilité.</v>
      </c>
      <c r="T82" s="5" t="str">
        <f>IFERROR(__xludf.DUMMYFUNCTION("AI(""DO A SENTIMENT ANALYSIS FOR THIS TABLE"")"),"Mixed")</f>
        <v>Mixed</v>
      </c>
    </row>
    <row r="83" ht="22.5" customHeight="1">
      <c r="A83" s="4">
        <v>82.0</v>
      </c>
      <c r="B83" s="4" t="s">
        <v>367</v>
      </c>
      <c r="C83" s="4" t="s">
        <v>368</v>
      </c>
      <c r="D83" s="4" t="s">
        <v>351</v>
      </c>
      <c r="E83" s="4">
        <v>1499.99</v>
      </c>
      <c r="F83" s="4">
        <v>11.89</v>
      </c>
      <c r="G83" s="4">
        <v>2.67</v>
      </c>
      <c r="H83" s="4">
        <v>74.0</v>
      </c>
      <c r="I83" s="4" t="s">
        <v>356</v>
      </c>
      <c r="J83" s="4" t="s">
        <v>369</v>
      </c>
      <c r="K83" s="4">
        <v>2.0</v>
      </c>
      <c r="L83" s="4" t="s">
        <v>106</v>
      </c>
      <c r="M83" s="4" t="s">
        <v>35</v>
      </c>
      <c r="N83" s="4" t="s">
        <v>27</v>
      </c>
      <c r="O83" s="4" t="s">
        <v>370</v>
      </c>
      <c r="P83" s="4" t="s">
        <v>108</v>
      </c>
      <c r="Q83" s="4">
        <v>1.0</v>
      </c>
      <c r="R83" s="5" t="str">
        <f>IFERROR(__xludf.DUMMYFUNCTION("AI(""Summarize this description using 10 words"")"),"Powerful compact laptop with borderless InfinityEdge display and high-end performance.")</f>
        <v>Powerful compact laptop with borderless InfinityEdge display and high-end performance.</v>
      </c>
      <c r="S83" s="5" t="str">
        <f>IFERROR(__xludf.DUMMYFUNCTION("AI(""Translate column R in French"")"),"Ordinateur portable Dell XPS 13 9300 compact et puissant avec écran InfinityEdge sans bordure et performances haut de gamme.")</f>
        <v>Ordinateur portable Dell XPS 13 9300 compact et puissant avec écran InfinityEdge sans bordure et performances haut de gamme.</v>
      </c>
      <c r="T83" s="5" t="str">
        <f>IFERROR(__xludf.DUMMYFUNCTION("AI(""DO A SENTIMENT ANALYSIS FOR THIS TABLE"")"),"Mixed")</f>
        <v>Mixed</v>
      </c>
    </row>
    <row r="84" ht="22.5" customHeight="1">
      <c r="A84" s="4">
        <v>83.0</v>
      </c>
      <c r="B84" s="4" t="s">
        <v>371</v>
      </c>
      <c r="C84" s="4" t="s">
        <v>372</v>
      </c>
      <c r="D84" s="4" t="s">
        <v>373</v>
      </c>
      <c r="E84" s="4">
        <v>29.99</v>
      </c>
      <c r="F84" s="4">
        <v>15.35</v>
      </c>
      <c r="G84" s="4">
        <v>3.64</v>
      </c>
      <c r="H84" s="4">
        <v>38.0</v>
      </c>
      <c r="I84" s="4" t="s">
        <v>374</v>
      </c>
      <c r="J84" s="4" t="s">
        <v>375</v>
      </c>
      <c r="K84" s="4">
        <v>4.0</v>
      </c>
      <c r="L84" s="4" t="s">
        <v>49</v>
      </c>
      <c r="M84" s="4" t="s">
        <v>26</v>
      </c>
      <c r="N84" s="4" t="s">
        <v>27</v>
      </c>
      <c r="O84" s="4" t="s">
        <v>376</v>
      </c>
      <c r="P84" s="4" t="s">
        <v>134</v>
      </c>
      <c r="Q84" s="4">
        <v>18.0</v>
      </c>
      <c r="R84" s="5" t="str">
        <f>IFERROR(__xludf.DUMMYFUNCTION("AI(""Summarize this description using 10 words"")"),"Stylish, high-quality men's check shirt for casual and semi-formal wear.")</f>
        <v>Stylish, high-quality men's check shirt for casual and semi-formal wear.</v>
      </c>
      <c r="S84" s="5" t="str">
        <f>IFERROR(__xludf.DUMMYFUNCTION("AI(""Translate column R in French"")"),"Chemise à carreaux bleue et noire élégante et confortable, idéale pour les occasions décontractées et semi-formelles.")</f>
        <v>Chemise à carreaux bleue et noire élégante et confortable, idéale pour les occasions décontractées et semi-formelles.</v>
      </c>
      <c r="T84" s="5" t="str">
        <f>IFERROR(__xludf.DUMMYFUNCTION("AI(""DO A SENTIMENT ANALYSIS FOR THIS TABLE"")"),"Mixed")</f>
        <v>Mixed</v>
      </c>
    </row>
    <row r="85" ht="22.5" customHeight="1">
      <c r="A85" s="4">
        <v>84.0</v>
      </c>
      <c r="B85" s="4" t="s">
        <v>377</v>
      </c>
      <c r="C85" s="4" t="s">
        <v>378</v>
      </c>
      <c r="D85" s="4" t="s">
        <v>373</v>
      </c>
      <c r="E85" s="4">
        <v>24.99</v>
      </c>
      <c r="F85" s="4">
        <v>0.94</v>
      </c>
      <c r="G85" s="4">
        <v>3.18</v>
      </c>
      <c r="H85" s="4">
        <v>90.0</v>
      </c>
      <c r="I85" s="4" t="s">
        <v>379</v>
      </c>
      <c r="J85" s="4" t="s">
        <v>380</v>
      </c>
      <c r="K85" s="4">
        <v>4.0</v>
      </c>
      <c r="L85" s="4" t="s">
        <v>49</v>
      </c>
      <c r="M85" s="4" t="s">
        <v>57</v>
      </c>
      <c r="N85" s="4" t="s">
        <v>27</v>
      </c>
      <c r="O85" s="4" t="s">
        <v>381</v>
      </c>
      <c r="P85" s="4" t="s">
        <v>134</v>
      </c>
      <c r="Q85" s="4">
        <v>16.0</v>
      </c>
      <c r="R85" s="5" t="str">
        <f>IFERROR(__xludf.DUMMYFUNCTION("AI(""Summarize this description using 10 words"")"),"Cool, casual shirt for gamers featuring the Aorus logo.")</f>
        <v>Cool, casual shirt for gamers featuring the Aorus logo.</v>
      </c>
      <c r="S85" s="5" t="str">
        <f>IFERROR(__xludf.DUMMYFUNCTION("AI(""Translate column R in French"")"),"T-shirt de jeu cool et décontracté avec logo Aorus et design élégant pour les passionnés.")</f>
        <v>T-shirt de jeu cool et décontracté avec logo Aorus et design élégant pour les passionnés.</v>
      </c>
      <c r="T85" s="5" t="str">
        <f>IFERROR(__xludf.DUMMYFUNCTION("AI(""DO A SENTIMENT ANALYSIS FOR THIS TABLE"")"),"Positive")</f>
        <v>Positive</v>
      </c>
    </row>
    <row r="86" ht="22.5" customHeight="1">
      <c r="A86" s="4">
        <v>85.0</v>
      </c>
      <c r="B86" s="4" t="s">
        <v>382</v>
      </c>
      <c r="C86" s="4" t="s">
        <v>383</v>
      </c>
      <c r="D86" s="4" t="s">
        <v>373</v>
      </c>
      <c r="E86" s="4">
        <v>34.99</v>
      </c>
      <c r="F86" s="4">
        <v>19.5</v>
      </c>
      <c r="G86" s="4">
        <v>3.46</v>
      </c>
      <c r="H86" s="4">
        <v>82.0</v>
      </c>
      <c r="I86" s="4" t="s">
        <v>374</v>
      </c>
      <c r="J86" s="4" t="s">
        <v>384</v>
      </c>
      <c r="K86" s="4">
        <v>3.0</v>
      </c>
      <c r="L86" s="4" t="s">
        <v>25</v>
      </c>
      <c r="M86" s="4" t="s">
        <v>43</v>
      </c>
      <c r="N86" s="4" t="s">
        <v>27</v>
      </c>
      <c r="O86" s="4" t="s">
        <v>385</v>
      </c>
      <c r="P86" s="4" t="s">
        <v>37</v>
      </c>
      <c r="Q86" s="4">
        <v>13.0</v>
      </c>
      <c r="R86" s="5" t="str">
        <f>IFERROR(__xludf.DUMMYFUNCTION("AI(""Summarize this description using 10 words"")"),"Timeless men's plaid shirt with comfortable fit and casual style.")</f>
        <v>Timeless men's plaid shirt with comfortable fit and casual style.</v>
      </c>
      <c r="S86" s="5" t="str">
        <f>IFERROR(__xludf.DUMMYFUNCTION("AI(""Translate column R in French"")"),"Chemise à carreaux pour homme intemporelle et polyvalente avec un motif classique, idéale pour diverses occasions.")</f>
        <v>Chemise à carreaux pour homme intemporelle et polyvalente avec un motif classique, idéale pour diverses occasions.</v>
      </c>
      <c r="T86" s="5" t="str">
        <f>IFERROR(__xludf.DUMMYFUNCTION("AI(""DO A SENTIMENT ANALYSIS FOR THIS TABLE"")"),"Mixed")</f>
        <v>Mixed</v>
      </c>
    </row>
    <row r="87" ht="22.5" customHeight="1">
      <c r="A87" s="4">
        <v>86.0</v>
      </c>
      <c r="B87" s="4" t="s">
        <v>386</v>
      </c>
      <c r="C87" s="4" t="s">
        <v>387</v>
      </c>
      <c r="D87" s="4" t="s">
        <v>373</v>
      </c>
      <c r="E87" s="4">
        <v>19.99</v>
      </c>
      <c r="F87" s="4">
        <v>6.83</v>
      </c>
      <c r="G87" s="4">
        <v>2.9</v>
      </c>
      <c r="H87" s="4">
        <v>2.0</v>
      </c>
      <c r="I87" s="4" t="s">
        <v>374</v>
      </c>
      <c r="J87" s="4" t="s">
        <v>388</v>
      </c>
      <c r="K87" s="4">
        <v>2.0</v>
      </c>
      <c r="L87" s="4" t="s">
        <v>49</v>
      </c>
      <c r="M87" s="4" t="s">
        <v>35</v>
      </c>
      <c r="N87" s="4" t="s">
        <v>78</v>
      </c>
      <c r="O87" s="4" t="s">
        <v>389</v>
      </c>
      <c r="P87" s="4" t="s">
        <v>134</v>
      </c>
      <c r="Q87" s="4">
        <v>4.0</v>
      </c>
      <c r="R87" s="5" t="str">
        <f>IFERROR(__xludf.DUMMYFUNCTION("AI(""Summarize this description using 10 words"")"),"Breezy and stylish short sleeve shirt for a polished look.")</f>
        <v>Breezy and stylish short sleeve shirt for a polished look.</v>
      </c>
      <c r="S87" s="5" t="str">
        <f>IFERROR(__xludf.DUMMYFUNCTION("AI(""Translate column R in French"")"),"Chemise à manches courtes pour homme aérée et élégante, parfaite pour un look décontracté mais soigné par temps chaud.")</f>
        <v>Chemise à manches courtes pour homme aérée et élégante, parfaite pour un look décontracté mais soigné par temps chaud.</v>
      </c>
      <c r="T87" s="5" t="str">
        <f>IFERROR(__xludf.DUMMYFUNCTION("AI(""DO A SENTIMENT ANALYSIS FOR THIS TABLE"")"),"Negative")</f>
        <v>Negative</v>
      </c>
    </row>
    <row r="88" ht="22.5" customHeight="1">
      <c r="A88" s="4">
        <v>87.0</v>
      </c>
      <c r="B88" s="4" t="s">
        <v>390</v>
      </c>
      <c r="C88" s="4" t="s">
        <v>391</v>
      </c>
      <c r="D88" s="4" t="s">
        <v>373</v>
      </c>
      <c r="E88" s="4">
        <v>27.99</v>
      </c>
      <c r="F88" s="4">
        <v>11.38</v>
      </c>
      <c r="G88" s="4">
        <v>2.72</v>
      </c>
      <c r="H88" s="4">
        <v>95.0</v>
      </c>
      <c r="I88" s="4" t="s">
        <v>374</v>
      </c>
      <c r="J88" s="4" t="s">
        <v>392</v>
      </c>
      <c r="K88" s="4">
        <v>10.0</v>
      </c>
      <c r="L88" s="4" t="s">
        <v>142</v>
      </c>
      <c r="M88" s="4" t="s">
        <v>43</v>
      </c>
      <c r="N88" s="4" t="s">
        <v>27</v>
      </c>
      <c r="O88" s="4" t="s">
        <v>393</v>
      </c>
      <c r="P88" s="4" t="s">
        <v>134</v>
      </c>
      <c r="Q88" s="4">
        <v>12.0</v>
      </c>
      <c r="R88" s="5" t="str">
        <f>IFERROR(__xludf.DUMMYFUNCTION("AI(""Summarize this description using 10 words"")"),"Classic versatile check pattern shirt for a smart polished look.")</f>
        <v>Classic versatile check pattern shirt for a smart polished look.</v>
      </c>
      <c r="S88" s="5" t="str">
        <f>IFERROR(__xludf.DUMMYFUNCTION("AI(""Translate column R in French"")"),"Chemise à carreaux classique et polyvalente au motif élégant pour un look chic et soigné.")</f>
        <v>Chemise à carreaux classique et polyvalente au motif élégant pour un look chic et soigné.</v>
      </c>
      <c r="T88" s="5" t="str">
        <f>IFERROR(__xludf.DUMMYFUNCTION("AI(""DO A SENTIMENT ANALYSIS FOR THIS TABLE"")"),"Mixed")</f>
        <v>Mixed</v>
      </c>
    </row>
    <row r="89" ht="22.5" customHeight="1">
      <c r="A89" s="4">
        <v>88.0</v>
      </c>
      <c r="B89" s="4" t="s">
        <v>394</v>
      </c>
      <c r="C89" s="4" t="s">
        <v>395</v>
      </c>
      <c r="D89" s="4" t="s">
        <v>396</v>
      </c>
      <c r="E89" s="4">
        <v>149.99</v>
      </c>
      <c r="F89" s="4">
        <v>4.12</v>
      </c>
      <c r="G89" s="4">
        <v>4.77</v>
      </c>
      <c r="H89" s="4">
        <v>7.0</v>
      </c>
      <c r="I89" s="4" t="s">
        <v>397</v>
      </c>
      <c r="J89" s="4" t="s">
        <v>398</v>
      </c>
      <c r="K89" s="4">
        <v>3.0</v>
      </c>
      <c r="L89" s="4" t="s">
        <v>34</v>
      </c>
      <c r="M89" s="4" t="s">
        <v>50</v>
      </c>
      <c r="N89" s="4" t="s">
        <v>27</v>
      </c>
      <c r="O89" s="4" t="s">
        <v>399</v>
      </c>
      <c r="P89" s="4" t="s">
        <v>29</v>
      </c>
      <c r="Q89" s="4">
        <v>1.0</v>
      </c>
      <c r="R89" s="5" t="str">
        <f>IFERROR(__xludf.DUMMYFUNCTION("AI(""Summarize this description using 10 words"")"),"Iconic basketball sneaker featuring stylish design and high performance features.")</f>
        <v>Iconic basketball sneaker featuring stylish design and high performance features.</v>
      </c>
      <c r="S89" s="5" t="str">
        <f>IFERROR(__xludf.DUMMYFUNCTION("AI(""Translate column R in French"")"),"Basket de basketball emblématique Nike Air Jordan 1 en rouge et noir, réputée pour son design élégant et ses performances de haut niveau.")</f>
        <v>Basket de basketball emblématique Nike Air Jordan 1 en rouge et noir, réputée pour son design élégant et ses performances de haut niveau.</v>
      </c>
      <c r="T89" s="5" t="str">
        <f>IFERROR(__xludf.DUMMYFUNCTION("AI(""DO A SENTIMENT ANALYSIS FOR THIS TABLE"")"),"Mixed")</f>
        <v>Mixed</v>
      </c>
    </row>
    <row r="90" ht="22.5" customHeight="1">
      <c r="A90" s="4">
        <v>89.0</v>
      </c>
      <c r="B90" s="4" t="s">
        <v>400</v>
      </c>
      <c r="C90" s="4" t="s">
        <v>401</v>
      </c>
      <c r="D90" s="4" t="s">
        <v>396</v>
      </c>
      <c r="E90" s="4">
        <v>79.99</v>
      </c>
      <c r="F90" s="4">
        <v>18.04</v>
      </c>
      <c r="G90" s="4">
        <v>3.88</v>
      </c>
      <c r="H90" s="4">
        <v>12.0</v>
      </c>
      <c r="I90" s="4" t="s">
        <v>402</v>
      </c>
      <c r="J90" s="4" t="s">
        <v>398</v>
      </c>
      <c r="K90" s="4">
        <v>9.0</v>
      </c>
      <c r="L90" s="4" t="s">
        <v>83</v>
      </c>
      <c r="M90" s="4" t="s">
        <v>35</v>
      </c>
      <c r="N90" s="4" t="s">
        <v>27</v>
      </c>
      <c r="O90" s="4" t="s">
        <v>403</v>
      </c>
      <c r="P90" s="4" t="s">
        <v>29</v>
      </c>
      <c r="Q90" s="4">
        <v>3.0</v>
      </c>
      <c r="R90" s="5" t="str">
        <f>IFERROR(__xludf.DUMMYFUNCTION("AI(""Summarize this description using 10 words"")"),"Baseball cleats designed for maximum traction, stability, and player performance.")</f>
        <v>Baseball cleats designed for maximum traction, stability, and player performance.</v>
      </c>
      <c r="S90" s="5" t="str">
        <f>IFERROR(__xludf.DUMMYFUNCTION("AI(""Translate column R in French"")"),"Crampons de baseball Nike conçus pour une traction, une stabilité et un soutien optimaux sur le terrain.")</f>
        <v>Crampons de baseball Nike conçus pour une traction, une stabilité et un soutien optimaux sur le terrain.</v>
      </c>
      <c r="T90" s="5" t="str">
        <f>IFERROR(__xludf.DUMMYFUNCTION("AI(""DO A SENTIMENT ANALYSIS FOR THIS TABLE"")"),"Mixed")</f>
        <v>Mixed</v>
      </c>
    </row>
    <row r="91" ht="22.5" customHeight="1">
      <c r="A91" s="4">
        <v>90.0</v>
      </c>
      <c r="B91" s="4" t="s">
        <v>404</v>
      </c>
      <c r="C91" s="4" t="s">
        <v>405</v>
      </c>
      <c r="D91" s="4" t="s">
        <v>396</v>
      </c>
      <c r="E91" s="4">
        <v>89.99</v>
      </c>
      <c r="F91" s="4">
        <v>4.2</v>
      </c>
      <c r="G91" s="4">
        <v>4.9</v>
      </c>
      <c r="H91" s="4">
        <v>90.0</v>
      </c>
      <c r="I91" s="4" t="s">
        <v>406</v>
      </c>
      <c r="J91" s="4" t="s">
        <v>407</v>
      </c>
      <c r="K91" s="4">
        <v>6.0</v>
      </c>
      <c r="L91" s="4" t="s">
        <v>100</v>
      </c>
      <c r="M91" s="4" t="s">
        <v>43</v>
      </c>
      <c r="N91" s="4" t="s">
        <v>27</v>
      </c>
      <c r="O91" s="4" t="s">
        <v>408</v>
      </c>
      <c r="P91" s="4" t="s">
        <v>65</v>
      </c>
      <c r="Q91" s="4">
        <v>10.0</v>
      </c>
      <c r="R91" s="5" t="str">
        <f>IFERROR(__xludf.DUMMYFUNCTION("AI(""Summarize this description using 10 words"")"),"Fashionable retro trainers offering modern comfort for casual everyday use.")</f>
        <v>Fashionable retro trainers offering modern comfort for casual everyday use.</v>
      </c>
      <c r="S91" s="5" t="str">
        <f>IFERROR(__xludf.DUMMYFUNCTION("AI(""Translate column R in French"")"),"Les baskets Puma Future Rider offrent un mélange de style rétro et de confort moderne. Parfaites pour une tenue décontractée, ces baskets constituent une option tendance et confortable pour un usage quotidien.")</f>
        <v>Les baskets Puma Future Rider offrent un mélange de style rétro et de confort moderne. Parfaites pour une tenue décontractée, ces baskets constituent une option tendance et confortable pour un usage quotidien.</v>
      </c>
      <c r="T91" s="5" t="str">
        <f>IFERROR(__xludf.DUMMYFUNCTION("AI(""DO A SENTIMENT ANALYSIS FOR THIS TABLE"")"),"Positive")</f>
        <v>Positive</v>
      </c>
    </row>
    <row r="92" ht="22.5" customHeight="1">
      <c r="A92" s="4">
        <v>91.0</v>
      </c>
      <c r="B92" s="4" t="s">
        <v>409</v>
      </c>
      <c r="C92" s="4" t="s">
        <v>410</v>
      </c>
      <c r="D92" s="4" t="s">
        <v>396</v>
      </c>
      <c r="E92" s="4">
        <v>119.99</v>
      </c>
      <c r="F92" s="4">
        <v>4.97</v>
      </c>
      <c r="G92" s="4">
        <v>4.77</v>
      </c>
      <c r="H92" s="4">
        <v>17.0</v>
      </c>
      <c r="I92" s="4" t="s">
        <v>397</v>
      </c>
      <c r="J92" s="4" t="s">
        <v>411</v>
      </c>
      <c r="K92" s="4">
        <v>7.0</v>
      </c>
      <c r="L92" s="4" t="s">
        <v>25</v>
      </c>
      <c r="M92" s="4" t="s">
        <v>26</v>
      </c>
      <c r="N92" s="4" t="s">
        <v>27</v>
      </c>
      <c r="O92" s="4" t="s">
        <v>412</v>
      </c>
      <c r="P92" s="4" t="s">
        <v>134</v>
      </c>
      <c r="Q92" s="4">
        <v>5.0</v>
      </c>
      <c r="R92" s="5" t="str">
        <f>IFERROR(__xludf.DUMMYFUNCTION("AI(""Summarize this description using 10 words"")"),"Stylish and functional off-white and red sports sneakers for enthusiasts.")</f>
        <v>Stylish and functional off-white and red sports sneakers for enthusiasts.</v>
      </c>
      <c r="S92" s="5" t="str">
        <f>IFERROR(__xludf.DUMMYFUNCTION("AI(""Translate column R in French"")"),"Baskets de sport blanc cassé et rouge alliant style et fonctionnalité pour les amateurs de sport.")</f>
        <v>Baskets de sport blanc cassé et rouge alliant style et fonctionnalité pour les amateurs de sport.</v>
      </c>
      <c r="T92" s="5" t="str">
        <f>IFERROR(__xludf.DUMMYFUNCTION("AI(""DO A SENTIMENT ANALYSIS FOR THIS TABLE"")"),"Positive")</f>
        <v>Positive</v>
      </c>
    </row>
    <row r="93" ht="22.5" customHeight="1">
      <c r="A93" s="4">
        <v>92.0</v>
      </c>
      <c r="B93" s="4" t="s">
        <v>413</v>
      </c>
      <c r="C93" s="4" t="s">
        <v>414</v>
      </c>
      <c r="D93" s="4" t="s">
        <v>396</v>
      </c>
      <c r="E93" s="4">
        <v>109.99</v>
      </c>
      <c r="F93" s="4">
        <v>0.04</v>
      </c>
      <c r="G93" s="4">
        <v>4.69</v>
      </c>
      <c r="H93" s="4">
        <v>62.0</v>
      </c>
      <c r="I93" s="4" t="s">
        <v>406</v>
      </c>
      <c r="J93" s="4" t="s">
        <v>411</v>
      </c>
      <c r="K93" s="4">
        <v>9.0</v>
      </c>
      <c r="L93" s="4" t="s">
        <v>42</v>
      </c>
      <c r="M93" s="4" t="s">
        <v>57</v>
      </c>
      <c r="N93" s="4" t="s">
        <v>27</v>
      </c>
      <c r="O93" s="4" t="s">
        <v>415</v>
      </c>
      <c r="P93" s="4" t="s">
        <v>108</v>
      </c>
      <c r="Q93" s="4">
        <v>3.0</v>
      </c>
      <c r="R93" s="5" t="str">
        <f>IFERROR(__xludf.DUMMYFUNCTION("AI(""Summarize this description using 10 words"")"),"Stylish sneakers with unique design providing comfort for casual occasions.")</f>
        <v>Stylish sneakers with unique design providing comfort for casual occasions.</v>
      </c>
      <c r="S93" s="5" t="str">
        <f>IFERROR(__xludf.DUMMYFUNCTION("AI(""Translate column R in French"")"),"Une autre variante des baskets de sport en Off White Red, présentant un design unique. Ces baskets offrent style et confort pour les occasions décontractées.")</f>
        <v>Une autre variante des baskets de sport en Off White Red, présentant un design unique. Ces baskets offrent style et confort pour les occasions décontractées.</v>
      </c>
      <c r="T93" s="5" t="str">
        <f>IFERROR(__xludf.DUMMYFUNCTION("AI(""DO A SENTIMENT ANALYSIS FOR THIS TABLE"")"),"Mixed")</f>
        <v>Mixed</v>
      </c>
    </row>
    <row r="94" ht="22.5" customHeight="1">
      <c r="A94" s="4">
        <v>93.0</v>
      </c>
      <c r="B94" s="4" t="s">
        <v>416</v>
      </c>
      <c r="C94" s="4" t="s">
        <v>417</v>
      </c>
      <c r="D94" s="4" t="s">
        <v>418</v>
      </c>
      <c r="E94" s="4">
        <v>89.99</v>
      </c>
      <c r="F94" s="4">
        <v>5.99</v>
      </c>
      <c r="G94" s="4">
        <v>4.19</v>
      </c>
      <c r="H94" s="4">
        <v>32.0</v>
      </c>
      <c r="I94" s="4" t="s">
        <v>419</v>
      </c>
      <c r="J94" s="4" t="s">
        <v>420</v>
      </c>
      <c r="K94" s="4">
        <v>10.0</v>
      </c>
      <c r="L94" s="4" t="s">
        <v>34</v>
      </c>
      <c r="M94" s="4" t="s">
        <v>77</v>
      </c>
      <c r="N94" s="4" t="s">
        <v>27</v>
      </c>
      <c r="O94" s="4" t="s">
        <v>421</v>
      </c>
      <c r="P94" s="4" t="s">
        <v>134</v>
      </c>
      <c r="Q94" s="4">
        <v>7.0</v>
      </c>
      <c r="R94" s="5" t="str">
        <f>IFERROR(__xludf.DUMMYFUNCTION("AI(""Summarize this description using 10 words"")"),"Classic stylish timepiece with genuine leather strap and sleek dial.")</f>
        <v>Classic stylish timepiece with genuine leather strap and sleek dial.</v>
      </c>
      <c r="S94" s="5" t="str">
        <f>IFERROR(__xludf.DUMMYFUNCTION("AI(""Translate column R in French"")"),"Montre élégante au design classique avec bracelet en cuir véritable et cadran épuré pour un look sophistiqué.")</f>
        <v>Montre élégante au design classique avec bracelet en cuir véritable et cadran épuré pour un look sophistiqué.</v>
      </c>
      <c r="T94" s="5" t="str">
        <f>IFERROR(__xludf.DUMMYFUNCTION("AI(""DO A SENTIMENT ANALYSIS FOR THIS TABLE"")"),"Mixed")</f>
        <v>Mixed</v>
      </c>
    </row>
    <row r="95" ht="22.5" customHeight="1">
      <c r="A95" s="4">
        <v>94.0</v>
      </c>
      <c r="B95" s="4" t="s">
        <v>422</v>
      </c>
      <c r="C95" s="4" t="s">
        <v>423</v>
      </c>
      <c r="D95" s="4" t="s">
        <v>418</v>
      </c>
      <c r="E95" s="4">
        <v>1499.99</v>
      </c>
      <c r="F95" s="4">
        <v>17.24</v>
      </c>
      <c r="G95" s="4">
        <v>3.87</v>
      </c>
      <c r="H95" s="4">
        <v>100.0</v>
      </c>
      <c r="I95" s="4" t="s">
        <v>424</v>
      </c>
      <c r="J95" s="4" t="s">
        <v>425</v>
      </c>
      <c r="K95" s="4">
        <v>4.0</v>
      </c>
      <c r="L95" s="4" t="s">
        <v>25</v>
      </c>
      <c r="M95" s="4" t="s">
        <v>43</v>
      </c>
      <c r="N95" s="4" t="s">
        <v>27</v>
      </c>
      <c r="O95" s="4" t="s">
        <v>426</v>
      </c>
      <c r="P95" s="4" t="s">
        <v>37</v>
      </c>
      <c r="Q95" s="4">
        <v>1.0</v>
      </c>
      <c r="R95" s="5" t="str">
        <f>IFERROR(__xludf.DUMMYFUNCTION("AI(""Summarize this description using 10 words"")"),"Elegant and refined watch known for its precision and craftsmanship.")</f>
        <v>Elegant and refined watch known for its precision and craftsmanship.</v>
      </c>
      <c r="S95" s="5" t="str">
        <f>IFERROR(__xludf.DUMMYFUNCTION("AI(""Translate column R in French"")"),"Montre élégante et raffinée, reconnue pour sa précision, son savoir-faire et son design intemporel.")</f>
        <v>Montre élégante et raffinée, reconnue pour sa précision, son savoir-faire et son design intemporel.</v>
      </c>
      <c r="T95" s="5" t="str">
        <f>IFERROR(__xludf.DUMMYFUNCTION("AI(""DO A SENTIMENT ANALYSIS FOR THIS TABLE"")"),"Mixed")</f>
        <v>Mixed</v>
      </c>
    </row>
    <row r="96" ht="22.5" customHeight="1">
      <c r="A96" s="4">
        <v>95.0</v>
      </c>
      <c r="B96" s="4" t="s">
        <v>427</v>
      </c>
      <c r="C96" s="4" t="s">
        <v>428</v>
      </c>
      <c r="D96" s="4" t="s">
        <v>418</v>
      </c>
      <c r="E96" s="4">
        <v>8999.99</v>
      </c>
      <c r="F96" s="4">
        <v>8.88</v>
      </c>
      <c r="G96" s="4">
        <v>4.97</v>
      </c>
      <c r="H96" s="4">
        <v>40.0</v>
      </c>
      <c r="I96" s="4" t="s">
        <v>424</v>
      </c>
      <c r="J96" s="4" t="s">
        <v>429</v>
      </c>
      <c r="K96" s="4">
        <v>2.0</v>
      </c>
      <c r="L96" s="4" t="s">
        <v>42</v>
      </c>
      <c r="M96" s="4" t="s">
        <v>50</v>
      </c>
      <c r="N96" s="4" t="s">
        <v>27</v>
      </c>
      <c r="O96" s="4" t="s">
        <v>430</v>
      </c>
      <c r="P96" s="4" t="s">
        <v>65</v>
      </c>
      <c r="Q96" s="4">
        <v>1.0</v>
      </c>
      <c r="R96" s="5" t="str">
        <f>IFERROR(__xludf.DUMMYFUNCTION("AI(""Summarize this description using 10 words"")"),"Sophisticated Rolex watch featuring a black dial and date complication.")</f>
        <v>Sophisticated Rolex watch featuring a black dial and date complication.</v>
      </c>
      <c r="S96" s="5" t="str">
        <f>IFERROR(__xludf.DUMMYFUNCTION("AI(""Translate column R in French"")"),"Montre Rolex Cellini Date classique et prestigieuse avec cadran noir, symbole de sophistication et d'héritage.")</f>
        <v>Montre Rolex Cellini Date classique et prestigieuse avec cadran noir, symbole de sophistication et d'héritage.</v>
      </c>
      <c r="T96" s="5" t="str">
        <f>IFERROR(__xludf.DUMMYFUNCTION("AI(""DO A SENTIMENT ANALYSIS FOR THIS TABLE"")"),"Mixed")</f>
        <v>Mixed</v>
      </c>
    </row>
    <row r="97" ht="22.5" customHeight="1">
      <c r="A97" s="4">
        <v>96.0</v>
      </c>
      <c r="B97" s="4" t="s">
        <v>431</v>
      </c>
      <c r="C97" s="4" t="s">
        <v>432</v>
      </c>
      <c r="D97" s="4" t="s">
        <v>418</v>
      </c>
      <c r="E97" s="4">
        <v>12999.99</v>
      </c>
      <c r="F97" s="4">
        <v>17.52</v>
      </c>
      <c r="G97" s="4">
        <v>2.58</v>
      </c>
      <c r="H97" s="4">
        <v>36.0</v>
      </c>
      <c r="I97" s="4" t="s">
        <v>424</v>
      </c>
      <c r="J97" s="4" t="s">
        <v>429</v>
      </c>
      <c r="K97" s="4">
        <v>2.0</v>
      </c>
      <c r="L97" s="4" t="s">
        <v>83</v>
      </c>
      <c r="M97" s="4" t="s">
        <v>57</v>
      </c>
      <c r="N97" s="4" t="s">
        <v>27</v>
      </c>
      <c r="O97" s="4" t="s">
        <v>433</v>
      </c>
      <c r="P97" s="4" t="s">
        <v>37</v>
      </c>
      <c r="Q97" s="4">
        <v>1.0</v>
      </c>
      <c r="R97" s="5" t="str">
        <f>IFERROR(__xludf.DUMMYFUNCTION("AI(""Summarize this description using 10 words"")"),"Rolex horology masterpiece with moon phase complication, precision, and elegance.")</f>
        <v>Rolex horology masterpiece with moon phase complication, precision, and elegance.</v>
      </c>
      <c r="S97" s="5" t="str">
        <f>IFERROR(__xludf.DUMMYFUNCTION("AI(""Translate column R in French"")"),"Chef-d'œuvre de l'horlogerie doté d'une complication phase de lune et d'un design exquis, alliant précision et élégance.")</f>
        <v>Chef-d'œuvre de l'horlogerie doté d'une complication phase de lune et d'un design exquis, alliant précision et élégance.</v>
      </c>
      <c r="T97" s="5" t="str">
        <f>IFERROR(__xludf.DUMMYFUNCTION("AI(""DO A SENTIMENT ANALYSIS FOR THIS TABLE"")"),"Positive")</f>
        <v>Positive</v>
      </c>
    </row>
    <row r="98" ht="22.5" customHeight="1">
      <c r="A98" s="4">
        <v>97.0</v>
      </c>
      <c r="B98" s="4" t="s">
        <v>434</v>
      </c>
      <c r="C98" s="4" t="s">
        <v>435</v>
      </c>
      <c r="D98" s="4" t="s">
        <v>418</v>
      </c>
      <c r="E98" s="4">
        <v>10999.99</v>
      </c>
      <c r="F98" s="4">
        <v>3.73</v>
      </c>
      <c r="G98" s="4">
        <v>3.66</v>
      </c>
      <c r="H98" s="4">
        <v>86.0</v>
      </c>
      <c r="I98" s="4" t="s">
        <v>424</v>
      </c>
      <c r="J98" s="4" t="s">
        <v>429</v>
      </c>
      <c r="K98" s="4">
        <v>4.0</v>
      </c>
      <c r="L98" s="4" t="s">
        <v>106</v>
      </c>
      <c r="M98" s="4" t="s">
        <v>77</v>
      </c>
      <c r="N98" s="4" t="s">
        <v>27</v>
      </c>
      <c r="O98" s="4" t="s">
        <v>436</v>
      </c>
      <c r="P98" s="4" t="s">
        <v>37</v>
      </c>
      <c r="Q98" s="4">
        <v>1.0</v>
      </c>
      <c r="R98" s="5" t="str">
        <f>IFERROR(__xludf.DUMMYFUNCTION("AI(""Summarize this description using 10 words"")"),"Iconic, versatile Rolex watch featuring timeless design and exceptional reliability.")</f>
        <v>Iconic, versatile Rolex watch featuring timeless design and exceptional reliability.</v>
      </c>
      <c r="S98" s="5" t="str">
        <f>IFERROR(__xludf.DUMMYFUNCTION("AI(""Translate column R in French"")"),"Montre emblématique et polyvalente avec guichet de date, réputée pour son design intemporel et sa fiabilité.")</f>
        <v>Montre emblématique et polyvalente avec guichet de date, réputée pour son design intemporel et sa fiabilité.</v>
      </c>
      <c r="T98" s="5" t="str">
        <f>IFERROR(__xludf.DUMMYFUNCTION("AI(""DO A SENTIMENT ANALYSIS FOR THIS TABLE"")"),"Mixed")</f>
        <v>Mixed</v>
      </c>
    </row>
    <row r="99" ht="22.5" customHeight="1">
      <c r="A99" s="4">
        <v>98.0</v>
      </c>
      <c r="B99" s="4" t="s">
        <v>437</v>
      </c>
      <c r="C99" s="4" t="s">
        <v>438</v>
      </c>
      <c r="D99" s="4" t="s">
        <v>418</v>
      </c>
      <c r="E99" s="4">
        <v>13999.99</v>
      </c>
      <c r="F99" s="4">
        <v>5.05</v>
      </c>
      <c r="G99" s="4">
        <v>2.69</v>
      </c>
      <c r="H99" s="4">
        <v>55.0</v>
      </c>
      <c r="I99" s="4" t="s">
        <v>424</v>
      </c>
      <c r="J99" s="4" t="s">
        <v>429</v>
      </c>
      <c r="K99" s="4">
        <v>4.0</v>
      </c>
      <c r="L99" s="4" t="s">
        <v>100</v>
      </c>
      <c r="M99" s="4" t="s">
        <v>77</v>
      </c>
      <c r="N99" s="4" t="s">
        <v>27</v>
      </c>
      <c r="O99" s="4" t="s">
        <v>439</v>
      </c>
      <c r="P99" s="4" t="s">
        <v>65</v>
      </c>
      <c r="Q99" s="4">
        <v>1.0</v>
      </c>
      <c r="R99" s="5" t="str">
        <f>IFERROR(__xludf.DUMMYFUNCTION("AI(""Summarize this description using 10 words"")"),"Legendary dive watch known for durability, water resistance, and adventure.")</f>
        <v>Legendary dive watch known for durability, water resistance, and adventure.</v>
      </c>
      <c r="S99" s="5" t="str">
        <f>IFERROR(__xludf.DUMMYFUNCTION("AI(""Translate column R in French"")"),"Montre de plongée légendaire à l'histoire riche, connue pour sa durabilité et sa résistance à l'eau.")</f>
        <v>Montre de plongée légendaire à l'histoire riche, connue pour sa durabilité et sa résistance à l'eau.</v>
      </c>
      <c r="T99" s="5" t="str">
        <f>IFERROR(__xludf.DUMMYFUNCTION("AI(""DO A SENTIMENT ANALYSIS FOR THIS TABLE"")"),"Positive")</f>
        <v>Positive</v>
      </c>
    </row>
    <row r="100" ht="22.5" customHeight="1">
      <c r="A100" s="4">
        <v>99.0</v>
      </c>
      <c r="B100" s="4" t="s">
        <v>440</v>
      </c>
      <c r="C100" s="4" t="s">
        <v>441</v>
      </c>
      <c r="D100" s="4" t="s">
        <v>442</v>
      </c>
      <c r="E100" s="4">
        <v>99.99</v>
      </c>
      <c r="F100" s="4">
        <v>12.07</v>
      </c>
      <c r="G100" s="4">
        <v>4.99</v>
      </c>
      <c r="H100" s="4">
        <v>61.0</v>
      </c>
      <c r="I100" s="4" t="s">
        <v>443</v>
      </c>
      <c r="J100" s="4" t="s">
        <v>444</v>
      </c>
      <c r="K100" s="4">
        <v>5.0</v>
      </c>
      <c r="L100" s="4" t="s">
        <v>83</v>
      </c>
      <c r="M100" s="4" t="s">
        <v>50</v>
      </c>
      <c r="N100" s="4" t="s">
        <v>27</v>
      </c>
      <c r="O100" s="4" t="s">
        <v>445</v>
      </c>
      <c r="P100" s="4" t="s">
        <v>37</v>
      </c>
      <c r="Q100" s="4">
        <v>9.0</v>
      </c>
      <c r="R100" s="5" t="str">
        <f>IFERROR(__xludf.DUMMYFUNCTION("AI(""Summarize this description using 10 words"")"),"Smart speaker with Alexa, premium sound, and smart home hub.")</f>
        <v>Smart speaker with Alexa, premium sound, and smart home hub.</v>
      </c>
      <c r="S100" s="5" t="str">
        <f>IFERROR(__xludf.DUMMYFUNCTION("AI(""Translate column R in French"")"),"Enceinte connectée avec contrôle vocal Alexa, son de qualité supérieure et concentrateur pour maison intelligente.")</f>
        <v>Enceinte connectée avec contrôle vocal Alexa, son de qualité supérieure et concentrateur pour maison intelligente.</v>
      </c>
      <c r="T100" s="5" t="str">
        <f>IFERROR(__xludf.DUMMYFUNCTION("AI(""DO A SENTIMENT ANALYSIS FOR THIS TABLE"")"),"Mixed")</f>
        <v>Mixed</v>
      </c>
    </row>
    <row r="101" ht="22.5" customHeight="1">
      <c r="A101" s="4">
        <v>100.0</v>
      </c>
      <c r="B101" s="4" t="s">
        <v>446</v>
      </c>
      <c r="C101" s="4" t="s">
        <v>447</v>
      </c>
      <c r="D101" s="4" t="s">
        <v>442</v>
      </c>
      <c r="E101" s="4">
        <v>129.99</v>
      </c>
      <c r="F101" s="4">
        <v>15.54</v>
      </c>
      <c r="G101" s="4">
        <v>4.15</v>
      </c>
      <c r="H101" s="4">
        <v>67.0</v>
      </c>
      <c r="I101" s="4" t="s">
        <v>448</v>
      </c>
      <c r="J101" s="4" t="s">
        <v>114</v>
      </c>
      <c r="K101" s="4">
        <v>4.0</v>
      </c>
      <c r="L101" s="4" t="s">
        <v>49</v>
      </c>
      <c r="M101" s="4" t="s">
        <v>26</v>
      </c>
      <c r="N101" s="4" t="s">
        <v>27</v>
      </c>
      <c r="O101" s="4" t="s">
        <v>449</v>
      </c>
      <c r="P101" s="4" t="s">
        <v>29</v>
      </c>
      <c r="Q101" s="4">
        <v>4.0</v>
      </c>
      <c r="R101" s="5" t="str">
        <f>IFERROR(__xludf.DUMMYFUNCTION("AI(""Summarize this description using 10 words"")"),"Seamless wireless audio with easy pairing, high-quality sound, and Siri.")</f>
        <v>Seamless wireless audio with easy pairing, high-quality sound, and Siri.</v>
      </c>
      <c r="S101" s="5" t="str">
        <f>IFERROR(__xludf.DUMMYFUNCTION("AI(""Translate column R in French"")"),"Expérience audio sans fil fluide avec appairage facile, son de haute qualité et intégration Siri pour une écoute en déplacement.")</f>
        <v>Expérience audio sans fil fluide avec appairage facile, son de haute qualité et intégration Siri pour une écoute en déplacement.</v>
      </c>
      <c r="T101" s="5" t="str">
        <f>IFERROR(__xludf.DUMMYFUNCTION("AI(""DO A SENTIMENT ANALYSIS FOR THIS TABLE"")"),"Positive")</f>
        <v>Positive</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2.63"/>
  </cols>
  <sheetData>
    <row r="1" ht="225.0" customHeight="1"/>
    <row r="3" ht="22.5" customHeight="1">
      <c r="A3" s="6" t="s">
        <v>4</v>
      </c>
      <c r="B3" s="6" t="s">
        <v>6</v>
      </c>
      <c r="C3" s="6" t="s">
        <v>3</v>
      </c>
    </row>
    <row r="4" ht="22.5" customHeight="1">
      <c r="A4" s="7">
        <v>0.79</v>
      </c>
      <c r="B4" s="7">
        <v>3.53</v>
      </c>
      <c r="C4" s="8" t="s">
        <v>116</v>
      </c>
    </row>
    <row r="5" ht="22.5" customHeight="1">
      <c r="A5" s="7">
        <v>0.99</v>
      </c>
      <c r="B5" s="7">
        <v>3.66</v>
      </c>
      <c r="C5" s="8" t="s">
        <v>116</v>
      </c>
    </row>
    <row r="6" ht="22.5" customHeight="1">
      <c r="A6" s="7">
        <v>0.99</v>
      </c>
      <c r="B6" s="7">
        <v>4.96</v>
      </c>
      <c r="C6" s="8" t="s">
        <v>116</v>
      </c>
    </row>
    <row r="7" ht="22.5" customHeight="1">
      <c r="A7" s="7">
        <v>1.29</v>
      </c>
      <c r="B7" s="7">
        <v>3.25</v>
      </c>
      <c r="C7" s="8" t="s">
        <v>116</v>
      </c>
    </row>
    <row r="8" ht="22.5" customHeight="1">
      <c r="A8" s="7">
        <v>1.49</v>
      </c>
      <c r="B8" s="7">
        <v>4.07</v>
      </c>
      <c r="C8" s="8" t="s">
        <v>116</v>
      </c>
    </row>
    <row r="9" ht="22.5" customHeight="1">
      <c r="A9" s="7">
        <v>1.99</v>
      </c>
      <c r="B9" s="7">
        <v>4.19</v>
      </c>
      <c r="C9" s="8" t="s">
        <v>116</v>
      </c>
    </row>
    <row r="10" ht="22.5" customHeight="1">
      <c r="A10" s="7">
        <v>1.99</v>
      </c>
      <c r="B10" s="7">
        <v>4.2</v>
      </c>
      <c r="C10" s="8" t="s">
        <v>116</v>
      </c>
    </row>
    <row r="11" ht="22.5" customHeight="1">
      <c r="A11" s="7">
        <v>1.99</v>
      </c>
      <c r="B11" s="7">
        <v>4.75</v>
      </c>
      <c r="C11" s="8" t="s">
        <v>116</v>
      </c>
    </row>
    <row r="12" ht="22.5" customHeight="1">
      <c r="A12" s="7">
        <v>2.29</v>
      </c>
      <c r="B12" s="7">
        <v>4.81</v>
      </c>
      <c r="C12" s="8" t="s">
        <v>116</v>
      </c>
    </row>
    <row r="13" ht="22.5" customHeight="1">
      <c r="A13" s="7">
        <v>2.49</v>
      </c>
      <c r="B13" s="7">
        <v>4.93</v>
      </c>
      <c r="C13" s="8" t="s">
        <v>116</v>
      </c>
    </row>
    <row r="14" ht="22.5" customHeight="1">
      <c r="A14" s="7">
        <v>2.49</v>
      </c>
      <c r="B14" s="7">
        <v>2.69</v>
      </c>
      <c r="C14" s="8" t="s">
        <v>116</v>
      </c>
    </row>
    <row r="15" ht="22.5" customHeight="1">
      <c r="A15" s="7">
        <v>2.99</v>
      </c>
      <c r="B15" s="7">
        <v>2.53</v>
      </c>
      <c r="C15" s="8" t="s">
        <v>116</v>
      </c>
    </row>
    <row r="16" ht="22.5" customHeight="1">
      <c r="A16" s="7">
        <v>3.49</v>
      </c>
      <c r="B16" s="7">
        <v>2.61</v>
      </c>
      <c r="C16" s="8" t="s">
        <v>116</v>
      </c>
    </row>
    <row r="17" ht="22.5" customHeight="1">
      <c r="A17" s="7">
        <v>3.99</v>
      </c>
      <c r="B17" s="7">
        <v>3.94</v>
      </c>
      <c r="C17" s="8" t="s">
        <v>116</v>
      </c>
    </row>
    <row r="18" ht="22.5" customHeight="1">
      <c r="A18" s="7">
        <v>3.99</v>
      </c>
      <c r="B18" s="7">
        <v>3.08</v>
      </c>
      <c r="C18" s="8" t="s">
        <v>116</v>
      </c>
    </row>
    <row r="19" ht="22.5" customHeight="1">
      <c r="A19" s="7">
        <v>3.99</v>
      </c>
      <c r="B19" s="7">
        <v>3.11</v>
      </c>
      <c r="C19" s="8" t="s">
        <v>236</v>
      </c>
    </row>
    <row r="20" ht="22.5" customHeight="1">
      <c r="A20" s="7">
        <v>3.99</v>
      </c>
      <c r="B20" s="7">
        <v>3.65</v>
      </c>
      <c r="C20" s="8" t="s">
        <v>236</v>
      </c>
    </row>
    <row r="21" ht="22.5" customHeight="1">
      <c r="A21" s="7">
        <v>4.99</v>
      </c>
      <c r="B21" s="7">
        <v>4.8</v>
      </c>
      <c r="C21" s="8" t="s">
        <v>116</v>
      </c>
    </row>
    <row r="22" ht="22.5" customHeight="1">
      <c r="A22" s="7">
        <v>4.99</v>
      </c>
      <c r="B22" s="7">
        <v>4.95</v>
      </c>
      <c r="C22" s="8" t="s">
        <v>116</v>
      </c>
    </row>
    <row r="23" ht="22.5" customHeight="1">
      <c r="A23" s="7">
        <v>4.99</v>
      </c>
      <c r="B23" s="7">
        <v>4.02</v>
      </c>
      <c r="C23" s="8" t="s">
        <v>236</v>
      </c>
    </row>
    <row r="24" ht="22.5" customHeight="1">
      <c r="A24" s="7">
        <v>4.99</v>
      </c>
      <c r="B24" s="7">
        <v>4.03</v>
      </c>
      <c r="C24" s="8" t="s">
        <v>236</v>
      </c>
    </row>
    <row r="25" ht="22.5" customHeight="1">
      <c r="A25" s="7">
        <v>5.49</v>
      </c>
      <c r="B25" s="7">
        <v>3.39</v>
      </c>
      <c r="C25" s="8" t="s">
        <v>116</v>
      </c>
    </row>
    <row r="26" ht="22.5" customHeight="1">
      <c r="A26" s="7">
        <v>5.99</v>
      </c>
      <c r="B26" s="7">
        <v>3.18</v>
      </c>
      <c r="C26" s="8" t="s">
        <v>116</v>
      </c>
    </row>
    <row r="27" ht="22.5" customHeight="1">
      <c r="A27" s="7">
        <v>5.99</v>
      </c>
      <c r="B27" s="7">
        <v>4.46</v>
      </c>
      <c r="C27" s="8" t="s">
        <v>236</v>
      </c>
    </row>
    <row r="28" ht="22.5" customHeight="1">
      <c r="A28" s="7">
        <v>5.99</v>
      </c>
      <c r="B28" s="7">
        <v>4.71</v>
      </c>
      <c r="C28" s="8" t="s">
        <v>236</v>
      </c>
    </row>
    <row r="29" ht="22.5" customHeight="1">
      <c r="A29" s="7">
        <v>5.99</v>
      </c>
      <c r="B29" s="7">
        <v>4.24</v>
      </c>
      <c r="C29" s="8" t="s">
        <v>236</v>
      </c>
    </row>
    <row r="30" ht="22.5" customHeight="1">
      <c r="A30" s="7">
        <v>6.99</v>
      </c>
      <c r="B30" s="7">
        <v>3.97</v>
      </c>
      <c r="C30" s="8" t="s">
        <v>116</v>
      </c>
    </row>
    <row r="31" ht="22.5" customHeight="1">
      <c r="A31" s="7">
        <v>6.99</v>
      </c>
      <c r="B31" s="7">
        <v>3.09</v>
      </c>
      <c r="C31" s="8" t="s">
        <v>236</v>
      </c>
    </row>
    <row r="32" ht="22.5" customHeight="1">
      <c r="A32" s="7">
        <v>6.99</v>
      </c>
      <c r="B32" s="7">
        <v>4.42</v>
      </c>
      <c r="C32" s="8" t="s">
        <v>236</v>
      </c>
    </row>
    <row r="33" ht="22.5" customHeight="1">
      <c r="A33" s="7">
        <v>7.99</v>
      </c>
      <c r="B33" s="7">
        <v>4.82</v>
      </c>
      <c r="C33" s="8" t="s">
        <v>116</v>
      </c>
    </row>
    <row r="34" ht="22.5" customHeight="1">
      <c r="A34" s="7">
        <v>7.99</v>
      </c>
      <c r="B34" s="7">
        <v>3.27</v>
      </c>
      <c r="C34" s="8" t="s">
        <v>236</v>
      </c>
    </row>
    <row r="35" ht="22.5" customHeight="1">
      <c r="A35" s="7">
        <v>7.99</v>
      </c>
      <c r="B35" s="7">
        <v>3.09</v>
      </c>
      <c r="C35" s="8" t="s">
        <v>236</v>
      </c>
    </row>
    <row r="36" ht="22.5" customHeight="1">
      <c r="A36" s="7">
        <v>8.99</v>
      </c>
      <c r="B36" s="7">
        <v>4.32</v>
      </c>
      <c r="C36" s="8" t="s">
        <v>22</v>
      </c>
    </row>
    <row r="37" ht="22.5" customHeight="1">
      <c r="A37" s="7">
        <v>8.99</v>
      </c>
      <c r="B37" s="7">
        <v>3.13</v>
      </c>
      <c r="C37" s="8" t="s">
        <v>116</v>
      </c>
    </row>
    <row r="38" ht="22.5" customHeight="1">
      <c r="A38" s="7">
        <v>8.99</v>
      </c>
      <c r="B38" s="7">
        <v>4.63</v>
      </c>
      <c r="C38" s="8" t="s">
        <v>236</v>
      </c>
    </row>
    <row r="39" ht="22.5" customHeight="1">
      <c r="A39" s="7">
        <v>8.99</v>
      </c>
      <c r="B39" s="7">
        <v>3.4</v>
      </c>
      <c r="C39" s="8" t="s">
        <v>236</v>
      </c>
    </row>
    <row r="40" ht="22.5" customHeight="1">
      <c r="A40" s="7">
        <v>9.99</v>
      </c>
      <c r="B40" s="7">
        <v>2.56</v>
      </c>
      <c r="C40" s="8" t="s">
        <v>22</v>
      </c>
    </row>
    <row r="41" ht="22.5" customHeight="1">
      <c r="A41" s="7">
        <v>9.99</v>
      </c>
      <c r="B41" s="7">
        <v>3.19</v>
      </c>
      <c r="C41" s="8" t="s">
        <v>116</v>
      </c>
    </row>
    <row r="42" ht="22.5" customHeight="1">
      <c r="A42" s="7">
        <v>9.99</v>
      </c>
      <c r="B42" s="7">
        <v>3.9</v>
      </c>
      <c r="C42" s="8" t="s">
        <v>236</v>
      </c>
    </row>
    <row r="43" ht="22.5" customHeight="1">
      <c r="A43" s="7">
        <v>9.99</v>
      </c>
      <c r="B43" s="7">
        <v>3.04</v>
      </c>
      <c r="C43" s="8" t="s">
        <v>236</v>
      </c>
    </row>
    <row r="44" ht="22.5" customHeight="1">
      <c r="A44" s="7">
        <v>10.99</v>
      </c>
      <c r="B44" s="7">
        <v>4.55</v>
      </c>
      <c r="C44" s="8" t="s">
        <v>116</v>
      </c>
    </row>
    <row r="45" ht="22.5" customHeight="1">
      <c r="A45" s="7">
        <v>10.99</v>
      </c>
      <c r="B45" s="7">
        <v>3.21</v>
      </c>
      <c r="C45" s="8" t="s">
        <v>236</v>
      </c>
    </row>
    <row r="46" ht="22.5" customHeight="1">
      <c r="A46" s="7">
        <v>11.99</v>
      </c>
      <c r="B46" s="7">
        <v>2.92</v>
      </c>
      <c r="C46" s="8" t="s">
        <v>236</v>
      </c>
    </row>
    <row r="47" ht="22.5" customHeight="1">
      <c r="A47" s="7">
        <v>12.99</v>
      </c>
      <c r="B47" s="7">
        <v>4.36</v>
      </c>
      <c r="C47" s="8" t="s">
        <v>22</v>
      </c>
    </row>
    <row r="48" ht="22.5" customHeight="1">
      <c r="A48" s="7">
        <v>12.99</v>
      </c>
      <c r="B48" s="7">
        <v>4.47</v>
      </c>
      <c r="C48" s="8" t="s">
        <v>116</v>
      </c>
    </row>
    <row r="49" ht="22.5" customHeight="1">
      <c r="A49" s="7">
        <v>12.99</v>
      </c>
      <c r="B49" s="7">
        <v>3.7</v>
      </c>
      <c r="C49" s="8" t="s">
        <v>236</v>
      </c>
    </row>
    <row r="50" ht="22.5" customHeight="1">
      <c r="A50" s="7">
        <v>12.99</v>
      </c>
      <c r="B50" s="7">
        <v>4.93</v>
      </c>
      <c r="C50" s="8" t="s">
        <v>236</v>
      </c>
    </row>
    <row r="51" ht="22.5" customHeight="1">
      <c r="A51" s="7">
        <v>14.99</v>
      </c>
      <c r="B51" s="7">
        <v>4.64</v>
      </c>
      <c r="C51" s="8" t="s">
        <v>22</v>
      </c>
    </row>
    <row r="52" ht="22.5" customHeight="1">
      <c r="A52" s="7">
        <v>14.99</v>
      </c>
      <c r="B52" s="7">
        <v>3.78</v>
      </c>
      <c r="C52" s="8" t="s">
        <v>116</v>
      </c>
    </row>
    <row r="53" ht="22.5" customHeight="1">
      <c r="A53" s="7">
        <v>14.99</v>
      </c>
      <c r="B53" s="7">
        <v>3.01</v>
      </c>
      <c r="C53" s="8" t="s">
        <v>215</v>
      </c>
    </row>
    <row r="54" ht="22.5" customHeight="1">
      <c r="A54" s="7">
        <v>14.99</v>
      </c>
      <c r="B54" s="7">
        <v>3.26</v>
      </c>
      <c r="C54" s="8" t="s">
        <v>236</v>
      </c>
    </row>
    <row r="55" ht="22.5" customHeight="1">
      <c r="A55" s="7">
        <v>15.99</v>
      </c>
      <c r="B55" s="7">
        <v>2.64</v>
      </c>
      <c r="C55" s="8" t="s">
        <v>236</v>
      </c>
    </row>
    <row r="56" ht="22.5" customHeight="1">
      <c r="A56" s="7">
        <v>16.99</v>
      </c>
      <c r="B56" s="7">
        <v>4.62</v>
      </c>
      <c r="C56" s="8" t="s">
        <v>236</v>
      </c>
    </row>
    <row r="57" ht="22.5" customHeight="1">
      <c r="A57" s="7">
        <v>19.99</v>
      </c>
      <c r="B57" s="7">
        <v>2.86</v>
      </c>
      <c r="C57" s="8" t="s">
        <v>22</v>
      </c>
    </row>
    <row r="58" ht="22.5" customHeight="1">
      <c r="A58" s="7">
        <v>19.99</v>
      </c>
      <c r="B58" s="7">
        <v>4.18</v>
      </c>
      <c r="C58" s="8" t="s">
        <v>116</v>
      </c>
    </row>
    <row r="59" ht="22.5" customHeight="1">
      <c r="A59" s="7">
        <v>19.99</v>
      </c>
      <c r="B59" s="7">
        <v>4.87</v>
      </c>
      <c r="C59" s="8" t="s">
        <v>236</v>
      </c>
    </row>
    <row r="60" ht="22.5" customHeight="1">
      <c r="A60" s="7">
        <v>19.99</v>
      </c>
      <c r="B60" s="7">
        <v>2.9</v>
      </c>
      <c r="C60" s="8" t="s">
        <v>373</v>
      </c>
    </row>
    <row r="61" ht="22.5" customHeight="1">
      <c r="A61" s="7">
        <v>24.99</v>
      </c>
      <c r="B61" s="7">
        <v>2.79</v>
      </c>
      <c r="C61" s="8" t="s">
        <v>236</v>
      </c>
    </row>
    <row r="62" ht="22.5" customHeight="1">
      <c r="A62" s="7">
        <v>24.99</v>
      </c>
      <c r="B62" s="7">
        <v>3.18</v>
      </c>
      <c r="C62" s="8" t="s">
        <v>373</v>
      </c>
    </row>
    <row r="63" ht="22.5" customHeight="1">
      <c r="A63" s="7">
        <v>27.99</v>
      </c>
      <c r="B63" s="7">
        <v>2.72</v>
      </c>
      <c r="C63" s="8" t="s">
        <v>373</v>
      </c>
    </row>
    <row r="64" ht="22.5" customHeight="1">
      <c r="A64" s="7">
        <v>29.99</v>
      </c>
      <c r="B64" s="7">
        <v>4.53</v>
      </c>
      <c r="C64" s="8" t="s">
        <v>215</v>
      </c>
    </row>
    <row r="65" ht="22.5" customHeight="1">
      <c r="A65" s="7">
        <v>29.99</v>
      </c>
      <c r="B65" s="7">
        <v>4.05</v>
      </c>
      <c r="C65" s="8" t="s">
        <v>236</v>
      </c>
    </row>
    <row r="66" ht="22.5" customHeight="1">
      <c r="A66" s="7">
        <v>29.99</v>
      </c>
      <c r="B66" s="7">
        <v>3.64</v>
      </c>
      <c r="C66" s="8" t="s">
        <v>373</v>
      </c>
    </row>
    <row r="67" ht="22.5" customHeight="1">
      <c r="A67" s="7">
        <v>34.99</v>
      </c>
      <c r="B67" s="7">
        <v>3.86</v>
      </c>
      <c r="C67" s="8" t="s">
        <v>236</v>
      </c>
    </row>
    <row r="68" ht="22.5" customHeight="1">
      <c r="A68" s="7">
        <v>34.99</v>
      </c>
      <c r="B68" s="7">
        <v>3.46</v>
      </c>
      <c r="C68" s="8" t="s">
        <v>373</v>
      </c>
    </row>
    <row r="69" ht="22.5" customHeight="1">
      <c r="A69" s="7">
        <v>39.99</v>
      </c>
      <c r="B69" s="7">
        <v>4.67</v>
      </c>
      <c r="C69" s="8" t="s">
        <v>215</v>
      </c>
    </row>
    <row r="70" ht="22.5" customHeight="1">
      <c r="A70" s="7">
        <v>39.99</v>
      </c>
      <c r="B70" s="7">
        <v>4.56</v>
      </c>
      <c r="C70" s="8" t="s">
        <v>236</v>
      </c>
    </row>
    <row r="71" ht="22.5" customHeight="1">
      <c r="A71" s="7">
        <v>39.99</v>
      </c>
      <c r="B71" s="7">
        <v>3.22</v>
      </c>
      <c r="C71" s="8" t="s">
        <v>236</v>
      </c>
    </row>
    <row r="72" ht="22.5" customHeight="1">
      <c r="A72" s="7">
        <v>49.99</v>
      </c>
      <c r="B72" s="7">
        <v>4.37</v>
      </c>
      <c r="C72" s="8" t="s">
        <v>61</v>
      </c>
    </row>
    <row r="73" ht="22.5" customHeight="1">
      <c r="A73" s="7">
        <v>49.99</v>
      </c>
      <c r="B73" s="7">
        <v>3.55</v>
      </c>
      <c r="C73" s="8" t="s">
        <v>215</v>
      </c>
    </row>
    <row r="74" ht="22.5" customHeight="1">
      <c r="A74" s="7">
        <v>49.99</v>
      </c>
      <c r="B74" s="7">
        <v>4.11</v>
      </c>
      <c r="C74" s="8" t="s">
        <v>236</v>
      </c>
    </row>
    <row r="75" ht="22.5" customHeight="1">
      <c r="A75" s="7">
        <v>59.99</v>
      </c>
      <c r="B75" s="7">
        <v>3.16</v>
      </c>
      <c r="C75" s="8" t="s">
        <v>215</v>
      </c>
    </row>
    <row r="76" ht="22.5" customHeight="1">
      <c r="A76" s="7">
        <v>69.99</v>
      </c>
      <c r="B76" s="7">
        <v>3.96</v>
      </c>
      <c r="C76" s="8" t="s">
        <v>61</v>
      </c>
    </row>
    <row r="77" ht="22.5" customHeight="1">
      <c r="A77" s="7">
        <v>79.99</v>
      </c>
      <c r="B77" s="7">
        <v>2.74</v>
      </c>
      <c r="C77" s="8" t="s">
        <v>61</v>
      </c>
    </row>
    <row r="78" ht="22.5" customHeight="1">
      <c r="A78" s="7">
        <v>79.99</v>
      </c>
      <c r="B78" s="7">
        <v>3.88</v>
      </c>
      <c r="C78" s="8" t="s">
        <v>396</v>
      </c>
    </row>
    <row r="79" ht="22.5" customHeight="1">
      <c r="A79" s="7">
        <v>89.99</v>
      </c>
      <c r="B79" s="7">
        <v>3.8</v>
      </c>
      <c r="C79" s="8" t="s">
        <v>61</v>
      </c>
    </row>
    <row r="80" ht="22.5" customHeight="1">
      <c r="A80" s="7">
        <v>89.99</v>
      </c>
      <c r="B80" s="7">
        <v>4.82</v>
      </c>
      <c r="C80" s="8" t="s">
        <v>236</v>
      </c>
    </row>
    <row r="81" ht="22.5" customHeight="1">
      <c r="A81" s="7">
        <v>89.99</v>
      </c>
      <c r="B81" s="7">
        <v>4.9</v>
      </c>
      <c r="C81" s="8" t="s">
        <v>396</v>
      </c>
    </row>
    <row r="82" ht="22.5" customHeight="1">
      <c r="A82" s="7">
        <v>89.99</v>
      </c>
      <c r="B82" s="7">
        <v>4.19</v>
      </c>
      <c r="C82" s="8" t="s">
        <v>418</v>
      </c>
    </row>
    <row r="83" ht="22.5" customHeight="1">
      <c r="A83" s="7">
        <v>99.99</v>
      </c>
      <c r="B83" s="7">
        <v>4.99</v>
      </c>
      <c r="C83" s="8" t="s">
        <v>442</v>
      </c>
    </row>
    <row r="84" ht="22.5" customHeight="1">
      <c r="A84" s="7">
        <v>109.99</v>
      </c>
      <c r="B84" s="7">
        <v>4.69</v>
      </c>
      <c r="C84" s="8" t="s">
        <v>396</v>
      </c>
    </row>
    <row r="85" ht="22.5" customHeight="1">
      <c r="A85" s="7">
        <v>119.99</v>
      </c>
      <c r="B85" s="7">
        <v>4.77</v>
      </c>
      <c r="C85" s="8" t="s">
        <v>396</v>
      </c>
    </row>
    <row r="86" ht="22.5" customHeight="1">
      <c r="A86" s="7">
        <v>129.99</v>
      </c>
      <c r="B86" s="7">
        <v>4.26</v>
      </c>
      <c r="C86" s="8" t="s">
        <v>61</v>
      </c>
    </row>
    <row r="87" ht="22.5" customHeight="1">
      <c r="A87" s="7">
        <v>129.99</v>
      </c>
      <c r="B87" s="7">
        <v>4.15</v>
      </c>
      <c r="C87" s="8" t="s">
        <v>442</v>
      </c>
    </row>
    <row r="88" ht="22.5" customHeight="1">
      <c r="A88" s="7">
        <v>149.99</v>
      </c>
      <c r="B88" s="7">
        <v>4.77</v>
      </c>
      <c r="C88" s="8" t="s">
        <v>396</v>
      </c>
    </row>
    <row r="89" ht="22.5" customHeight="1">
      <c r="A89" s="7">
        <v>299.99</v>
      </c>
      <c r="B89" s="7">
        <v>2.87</v>
      </c>
      <c r="C89" s="8" t="s">
        <v>87</v>
      </c>
    </row>
    <row r="90" ht="22.5" customHeight="1">
      <c r="A90" s="7">
        <v>499.99</v>
      </c>
      <c r="B90" s="7">
        <v>4.88</v>
      </c>
      <c r="C90" s="8" t="s">
        <v>87</v>
      </c>
    </row>
    <row r="91" ht="22.5" customHeight="1">
      <c r="A91" s="7">
        <v>799.99</v>
      </c>
      <c r="B91" s="7">
        <v>3.59</v>
      </c>
      <c r="C91" s="8" t="s">
        <v>87</v>
      </c>
    </row>
    <row r="92" ht="22.5" customHeight="1">
      <c r="A92" s="7">
        <v>1099.99</v>
      </c>
      <c r="B92" s="7">
        <v>2.86</v>
      </c>
      <c r="C92" s="8" t="s">
        <v>351</v>
      </c>
    </row>
    <row r="93" ht="22.5" customHeight="1">
      <c r="A93" s="7">
        <v>1399.99</v>
      </c>
      <c r="B93" s="7">
        <v>4.98</v>
      </c>
      <c r="C93" s="8" t="s">
        <v>351</v>
      </c>
    </row>
    <row r="94" ht="22.5" customHeight="1">
      <c r="A94" s="7">
        <v>1499.99</v>
      </c>
      <c r="B94" s="7">
        <v>2.67</v>
      </c>
      <c r="C94" s="8" t="s">
        <v>351</v>
      </c>
    </row>
    <row r="95" ht="22.5" customHeight="1">
      <c r="A95" s="7">
        <v>1499.99</v>
      </c>
      <c r="B95" s="7">
        <v>3.87</v>
      </c>
      <c r="C95" s="8" t="s">
        <v>418</v>
      </c>
    </row>
    <row r="96" ht="22.5" customHeight="1">
      <c r="A96" s="7">
        <v>1799.99</v>
      </c>
      <c r="B96" s="7">
        <v>3.95</v>
      </c>
      <c r="C96" s="8" t="s">
        <v>351</v>
      </c>
    </row>
    <row r="97" ht="22.5" customHeight="1">
      <c r="A97" s="7">
        <v>1899.99</v>
      </c>
      <c r="B97" s="7">
        <v>4.77</v>
      </c>
      <c r="C97" s="8" t="s">
        <v>87</v>
      </c>
    </row>
    <row r="98" ht="22.5" customHeight="1">
      <c r="A98" s="7">
        <v>1999.99</v>
      </c>
      <c r="B98" s="7">
        <v>3.65</v>
      </c>
      <c r="C98" s="8" t="s">
        <v>351</v>
      </c>
    </row>
    <row r="99" ht="22.5" customHeight="1">
      <c r="A99" s="7">
        <v>2499.99</v>
      </c>
      <c r="B99" s="7">
        <v>3.92</v>
      </c>
      <c r="C99" s="8" t="s">
        <v>87</v>
      </c>
    </row>
    <row r="100" ht="22.5" customHeight="1">
      <c r="A100" s="7">
        <v>8999.99</v>
      </c>
      <c r="B100" s="7">
        <v>4.97</v>
      </c>
      <c r="C100" s="8" t="s">
        <v>418</v>
      </c>
    </row>
    <row r="101" ht="22.5" customHeight="1">
      <c r="A101" s="7">
        <v>10999.99</v>
      </c>
      <c r="B101" s="7">
        <v>3.66</v>
      </c>
      <c r="C101" s="8" t="s">
        <v>418</v>
      </c>
    </row>
    <row r="102" ht="22.5" customHeight="1">
      <c r="A102" s="7">
        <v>12999.99</v>
      </c>
      <c r="B102" s="7">
        <v>2.58</v>
      </c>
      <c r="C102" s="8" t="s">
        <v>418</v>
      </c>
    </row>
    <row r="103" ht="22.5" customHeight="1">
      <c r="A103" s="7">
        <v>13999.99</v>
      </c>
      <c r="B103" s="7">
        <v>2.69</v>
      </c>
      <c r="C103" s="8" t="s">
        <v>418</v>
      </c>
    </row>
  </sheetData>
  <dataValidations>
    <dataValidation type="custom" allowBlank="1" showDropDown="1" sqref="A4:B103">
      <formula1>AND(ISNUMBER(A4),(NOT(OR(NOT(ISERROR(DATEVALUE(A4))), AND(ISNUMBER(A4), LEFT(CELL("format", A4))="D")))))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2.63"/>
  </cols>
  <sheetData>
    <row r="2">
      <c r="A2" s="9" t="s">
        <v>450</v>
      </c>
    </row>
  </sheetData>
  <mergeCells count="1">
    <mergeCell ref="A2:E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2" width="12.63"/>
  </cols>
  <sheetData>
    <row r="1" ht="225.0" customHeight="1"/>
    <row r="3" ht="22.5" customHeight="1">
      <c r="A3" s="6" t="s">
        <v>451</v>
      </c>
      <c r="B3" s="6" t="s">
        <v>22</v>
      </c>
      <c r="C3" s="6" t="s">
        <v>61</v>
      </c>
      <c r="D3" s="6" t="s">
        <v>87</v>
      </c>
      <c r="E3" s="6" t="s">
        <v>116</v>
      </c>
      <c r="F3" s="6" t="s">
        <v>215</v>
      </c>
      <c r="G3" s="6" t="s">
        <v>236</v>
      </c>
      <c r="H3" s="6" t="s">
        <v>351</v>
      </c>
      <c r="I3" s="6" t="s">
        <v>373</v>
      </c>
      <c r="J3" s="6" t="s">
        <v>396</v>
      </c>
      <c r="K3" s="6" t="s">
        <v>418</v>
      </c>
      <c r="L3" s="6" t="s">
        <v>442</v>
      </c>
    </row>
    <row r="4" ht="22.5" customHeight="1">
      <c r="A4" s="8" t="s">
        <v>22</v>
      </c>
      <c r="B4" s="7">
        <v>13.39</v>
      </c>
      <c r="C4" s="8"/>
      <c r="D4" s="8"/>
      <c r="E4" s="8"/>
      <c r="F4" s="8"/>
      <c r="G4" s="8"/>
      <c r="H4" s="8"/>
      <c r="I4" s="8"/>
      <c r="J4" s="8"/>
      <c r="K4" s="8"/>
      <c r="L4" s="8"/>
    </row>
    <row r="5" ht="22.5" customHeight="1">
      <c r="A5" s="8" t="s">
        <v>61</v>
      </c>
      <c r="B5" s="8"/>
      <c r="C5" s="7">
        <v>83.99</v>
      </c>
      <c r="D5" s="8"/>
      <c r="E5" s="8"/>
      <c r="F5" s="8"/>
      <c r="G5" s="8"/>
      <c r="H5" s="8"/>
      <c r="I5" s="8"/>
      <c r="J5" s="8"/>
      <c r="K5" s="8"/>
      <c r="L5" s="8"/>
    </row>
    <row r="6" ht="22.5" customHeight="1">
      <c r="A6" s="8" t="s">
        <v>87</v>
      </c>
      <c r="B6" s="8"/>
      <c r="C6" s="8"/>
      <c r="D6" s="7">
        <v>1199.99</v>
      </c>
      <c r="E6" s="8"/>
      <c r="F6" s="8"/>
      <c r="G6" s="8"/>
      <c r="H6" s="8"/>
      <c r="I6" s="8"/>
      <c r="J6" s="8"/>
      <c r="K6" s="8"/>
      <c r="L6" s="8"/>
    </row>
    <row r="7" ht="22.5" customHeight="1">
      <c r="A7" s="8" t="s">
        <v>116</v>
      </c>
      <c r="B7" s="8"/>
      <c r="C7" s="8"/>
      <c r="D7" s="8"/>
      <c r="E7" s="7">
        <v>5.46777777777777</v>
      </c>
      <c r="F7" s="8"/>
      <c r="G7" s="8"/>
      <c r="H7" s="8"/>
      <c r="I7" s="8"/>
      <c r="J7" s="8"/>
      <c r="K7" s="8"/>
      <c r="L7" s="8"/>
    </row>
    <row r="8" ht="22.5" customHeight="1">
      <c r="A8" s="8" t="s">
        <v>215</v>
      </c>
      <c r="B8" s="8"/>
      <c r="C8" s="8"/>
      <c r="D8" s="8"/>
      <c r="E8" s="8"/>
      <c r="F8" s="7">
        <v>38.9899999999999</v>
      </c>
      <c r="G8" s="8"/>
      <c r="H8" s="8"/>
      <c r="I8" s="8"/>
      <c r="J8" s="8"/>
      <c r="K8" s="8"/>
      <c r="L8" s="8"/>
    </row>
    <row r="9" ht="22.5" customHeight="1">
      <c r="A9" s="8" t="s">
        <v>236</v>
      </c>
      <c r="B9" s="8"/>
      <c r="C9" s="8"/>
      <c r="D9" s="8"/>
      <c r="E9" s="8"/>
      <c r="F9" s="8"/>
      <c r="G9" s="7">
        <v>17.69</v>
      </c>
      <c r="H9" s="8"/>
      <c r="I9" s="8"/>
      <c r="J9" s="8"/>
      <c r="K9" s="8"/>
      <c r="L9" s="8"/>
    </row>
    <row r="10" ht="22.5" customHeight="1">
      <c r="A10" s="8" t="s">
        <v>351</v>
      </c>
      <c r="B10" s="8"/>
      <c r="C10" s="8"/>
      <c r="D10" s="8"/>
      <c r="E10" s="8"/>
      <c r="F10" s="8"/>
      <c r="G10" s="8"/>
      <c r="H10" s="7">
        <v>1559.99</v>
      </c>
      <c r="I10" s="8"/>
      <c r="J10" s="8"/>
      <c r="K10" s="8"/>
      <c r="L10" s="8"/>
    </row>
    <row r="11" ht="22.5" customHeight="1">
      <c r="A11" s="8" t="s">
        <v>373</v>
      </c>
      <c r="B11" s="8"/>
      <c r="C11" s="8"/>
      <c r="D11" s="8"/>
      <c r="E11" s="8"/>
      <c r="F11" s="8"/>
      <c r="G11" s="8"/>
      <c r="H11" s="8"/>
      <c r="I11" s="7">
        <v>27.5899999999999</v>
      </c>
      <c r="J11" s="8"/>
      <c r="K11" s="8"/>
      <c r="L11" s="8"/>
    </row>
    <row r="12" ht="22.5" customHeight="1">
      <c r="A12" s="8" t="s">
        <v>396</v>
      </c>
      <c r="B12" s="8"/>
      <c r="C12" s="8"/>
      <c r="D12" s="8"/>
      <c r="E12" s="8"/>
      <c r="F12" s="8"/>
      <c r="G12" s="8"/>
      <c r="H12" s="8"/>
      <c r="I12" s="8"/>
      <c r="J12" s="7">
        <v>109.99</v>
      </c>
      <c r="K12" s="8"/>
      <c r="L12" s="8"/>
    </row>
    <row r="13" ht="22.5" customHeight="1">
      <c r="A13" s="8" t="s">
        <v>418</v>
      </c>
      <c r="B13" s="8"/>
      <c r="C13" s="8"/>
      <c r="D13" s="8"/>
      <c r="E13" s="8"/>
      <c r="F13" s="8"/>
      <c r="G13" s="8"/>
      <c r="H13" s="8"/>
      <c r="I13" s="8"/>
      <c r="J13" s="8"/>
      <c r="K13" s="7">
        <v>8098.32333333333</v>
      </c>
      <c r="L13" s="8"/>
    </row>
    <row r="14" ht="22.5" customHeight="1">
      <c r="A14" s="8" t="s">
        <v>442</v>
      </c>
      <c r="B14" s="8"/>
      <c r="C14" s="8"/>
      <c r="D14" s="8"/>
      <c r="E14" s="8"/>
      <c r="F14" s="8"/>
      <c r="G14" s="8"/>
      <c r="H14" s="8"/>
      <c r="I14" s="8"/>
      <c r="J14" s="8"/>
      <c r="K14" s="8"/>
      <c r="L14" s="7">
        <v>114.99</v>
      </c>
    </row>
  </sheetData>
  <dataValidations>
    <dataValidation type="custom" allowBlank="1" showDropDown="1" sqref="B4:L14">
      <formula1>AND(ISNUMBER(B4),(NOT(OR(NOT(ISERROR(DATEVALUE(B4))), AND(ISNUMBER(B4), LEFT(CELL("format", B4))="D")))))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2" width="12.63"/>
  </cols>
  <sheetData>
    <row r="1" ht="225.0" customHeight="1">
      <c r="A1" s="10" t="s">
        <v>452</v>
      </c>
    </row>
    <row r="3" ht="22.5" customHeight="1">
      <c r="A3" s="6" t="s">
        <v>451</v>
      </c>
      <c r="B3" s="6" t="s">
        <v>236</v>
      </c>
      <c r="C3" s="6" t="s">
        <v>116</v>
      </c>
      <c r="D3" s="6" t="s">
        <v>418</v>
      </c>
      <c r="E3" s="6" t="s">
        <v>22</v>
      </c>
      <c r="F3" s="6" t="s">
        <v>61</v>
      </c>
      <c r="G3" s="6" t="s">
        <v>87</v>
      </c>
      <c r="H3" s="6" t="s">
        <v>215</v>
      </c>
      <c r="I3" s="6" t="s">
        <v>351</v>
      </c>
      <c r="J3" s="6" t="s">
        <v>373</v>
      </c>
      <c r="K3" s="6" t="s">
        <v>396</v>
      </c>
      <c r="L3" s="6" t="s">
        <v>442</v>
      </c>
    </row>
    <row r="4" ht="22.5" customHeight="1">
      <c r="A4" s="8" t="s">
        <v>22</v>
      </c>
      <c r="B4" s="8"/>
      <c r="C4" s="8"/>
      <c r="D4" s="8"/>
      <c r="E4" s="7">
        <v>5.0</v>
      </c>
      <c r="F4" s="8"/>
      <c r="G4" s="8"/>
      <c r="H4" s="8"/>
      <c r="I4" s="8"/>
      <c r="J4" s="8"/>
      <c r="K4" s="8"/>
      <c r="L4" s="8"/>
    </row>
    <row r="5" ht="22.5" customHeight="1">
      <c r="A5" s="8" t="s">
        <v>61</v>
      </c>
      <c r="B5" s="8"/>
      <c r="C5" s="8"/>
      <c r="D5" s="8"/>
      <c r="E5" s="8"/>
      <c r="F5" s="7">
        <v>5.0</v>
      </c>
      <c r="G5" s="8"/>
      <c r="H5" s="8"/>
      <c r="I5" s="8"/>
      <c r="J5" s="8"/>
      <c r="K5" s="8"/>
      <c r="L5" s="8"/>
    </row>
    <row r="6" ht="22.5" customHeight="1">
      <c r="A6" s="8" t="s">
        <v>87</v>
      </c>
      <c r="B6" s="8"/>
      <c r="C6" s="8"/>
      <c r="D6" s="8"/>
      <c r="E6" s="8"/>
      <c r="F6" s="8"/>
      <c r="G6" s="7">
        <v>5.0</v>
      </c>
      <c r="H6" s="8"/>
      <c r="I6" s="8"/>
      <c r="J6" s="8"/>
      <c r="K6" s="8"/>
      <c r="L6" s="8"/>
    </row>
    <row r="7" ht="22.5" customHeight="1">
      <c r="A7" s="8" t="s">
        <v>116</v>
      </c>
      <c r="B7" s="8"/>
      <c r="C7" s="7">
        <v>27.0</v>
      </c>
      <c r="D7" s="8"/>
      <c r="E7" s="8"/>
      <c r="F7" s="8"/>
      <c r="G7" s="8"/>
      <c r="H7" s="8"/>
      <c r="I7" s="8"/>
      <c r="J7" s="8"/>
      <c r="K7" s="8"/>
      <c r="L7" s="8"/>
    </row>
    <row r="8" ht="22.5" customHeight="1">
      <c r="A8" s="8" t="s">
        <v>215</v>
      </c>
      <c r="B8" s="8"/>
      <c r="C8" s="8"/>
      <c r="D8" s="8"/>
      <c r="E8" s="8"/>
      <c r="F8" s="8"/>
      <c r="G8" s="8"/>
      <c r="H8" s="7">
        <v>5.0</v>
      </c>
      <c r="I8" s="8"/>
      <c r="J8" s="8"/>
      <c r="K8" s="8"/>
      <c r="L8" s="8"/>
    </row>
    <row r="9" ht="22.5" customHeight="1">
      <c r="A9" s="8" t="s">
        <v>236</v>
      </c>
      <c r="B9" s="7">
        <v>30.0</v>
      </c>
      <c r="C9" s="8"/>
      <c r="D9" s="8"/>
      <c r="E9" s="8"/>
      <c r="F9" s="8"/>
      <c r="G9" s="8"/>
      <c r="H9" s="8"/>
      <c r="I9" s="8"/>
      <c r="J9" s="8"/>
      <c r="K9" s="8"/>
      <c r="L9" s="8"/>
    </row>
    <row r="10" ht="22.5" customHeight="1">
      <c r="A10" s="8" t="s">
        <v>351</v>
      </c>
      <c r="B10" s="8"/>
      <c r="C10" s="8"/>
      <c r="D10" s="8"/>
      <c r="E10" s="8"/>
      <c r="F10" s="8"/>
      <c r="G10" s="8"/>
      <c r="H10" s="8"/>
      <c r="I10" s="7">
        <v>5.0</v>
      </c>
      <c r="J10" s="8"/>
      <c r="K10" s="8"/>
      <c r="L10" s="8"/>
    </row>
    <row r="11" ht="22.5" customHeight="1">
      <c r="A11" s="8" t="s">
        <v>373</v>
      </c>
      <c r="B11" s="8"/>
      <c r="C11" s="8"/>
      <c r="D11" s="8"/>
      <c r="E11" s="8"/>
      <c r="F11" s="8"/>
      <c r="G11" s="8"/>
      <c r="H11" s="8"/>
      <c r="I11" s="8"/>
      <c r="J11" s="7">
        <v>5.0</v>
      </c>
      <c r="K11" s="8"/>
      <c r="L11" s="8"/>
    </row>
    <row r="12" ht="22.5" customHeight="1">
      <c r="A12" s="8" t="s">
        <v>396</v>
      </c>
      <c r="B12" s="8"/>
      <c r="C12" s="8"/>
      <c r="D12" s="8"/>
      <c r="E12" s="8"/>
      <c r="F12" s="8"/>
      <c r="G12" s="8"/>
      <c r="H12" s="8"/>
      <c r="I12" s="8"/>
      <c r="J12" s="8"/>
      <c r="K12" s="7">
        <v>5.0</v>
      </c>
      <c r="L12" s="8"/>
    </row>
    <row r="13" ht="22.5" customHeight="1">
      <c r="A13" s="8" t="s">
        <v>418</v>
      </c>
      <c r="B13" s="8"/>
      <c r="C13" s="8"/>
      <c r="D13" s="7">
        <v>6.0</v>
      </c>
      <c r="E13" s="8"/>
      <c r="F13" s="8"/>
      <c r="G13" s="8"/>
      <c r="H13" s="8"/>
      <c r="I13" s="8"/>
      <c r="J13" s="8"/>
      <c r="K13" s="8"/>
      <c r="L13" s="8"/>
    </row>
    <row r="14" ht="22.5" customHeight="1">
      <c r="A14" s="8" t="s">
        <v>442</v>
      </c>
      <c r="B14" s="8"/>
      <c r="C14" s="8"/>
      <c r="D14" s="8"/>
      <c r="E14" s="8"/>
      <c r="F14" s="8"/>
      <c r="G14" s="8"/>
      <c r="H14" s="8"/>
      <c r="I14" s="8"/>
      <c r="J14" s="8"/>
      <c r="K14" s="8"/>
      <c r="L14" s="7">
        <v>2.0</v>
      </c>
    </row>
  </sheetData>
  <mergeCells count="1">
    <mergeCell ref="A1:E1"/>
  </mergeCells>
  <dataValidations>
    <dataValidation type="custom" allowBlank="1" showDropDown="1" sqref="B4:L14">
      <formula1>AND(ISNUMBER(B4),(NOT(OR(NOT(ISERROR(DATEVALUE(B4))), AND(ISNUMBER(B4), LEFT(CELL("format", B4))="D")))))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6" t="s">
        <v>453</v>
      </c>
      <c r="B3" s="6" t="s">
        <v>454</v>
      </c>
    </row>
    <row r="4" ht="22.5" customHeight="1">
      <c r="A4" s="8" t="s">
        <v>455</v>
      </c>
      <c r="B4" s="7">
        <v>57.0</v>
      </c>
    </row>
    <row r="5" ht="22.5" customHeight="1">
      <c r="A5" s="8" t="s">
        <v>456</v>
      </c>
      <c r="B5" s="7">
        <v>5.0</v>
      </c>
    </row>
    <row r="6" ht="22.5" customHeight="1">
      <c r="A6" s="8" t="s">
        <v>457</v>
      </c>
      <c r="B6" s="7">
        <v>38.0</v>
      </c>
    </row>
  </sheetData>
  <dataValidations>
    <dataValidation type="custom" allowBlank="1" showDropDown="1" sqref="B4:B6">
      <formula1>AND(ISNUMBER(B4),(NOT(OR(NOT(ISERROR(DATEVALUE(B4))), AND(ISNUMBER(B4), LEFT(CELL("format", B4))="D")))))</formula1>
    </dataValidation>
  </dataValidations>
  <drawing r:id="rId1"/>
  <tableParts count="1">
    <tablePart r:id="rId3"/>
  </tableParts>
</worksheet>
</file>