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description" sheetId="1" r:id="rId5"/>
    <sheet state="visible" name="Product Price vs. Rating (Log S" sheetId="2" r:id="rId6"/>
    <sheet state="visible" name="Average Product Price by Catego" sheetId="3" r:id="rId7"/>
    <sheet state="visible" name="Number of Products by Category" sheetId="4" r:id="rId8"/>
  </sheets>
  <definedNames/>
  <calcPr/>
</workbook>
</file>

<file path=xl/sharedStrings.xml><?xml version="1.0" encoding="utf-8"?>
<sst xmlns="http://schemas.openxmlformats.org/spreadsheetml/2006/main" count="1107" uniqueCount="451">
  <si>
    <t>id</t>
  </si>
  <si>
    <t>title</t>
  </si>
  <si>
    <t>description</t>
  </si>
  <si>
    <t>category</t>
  </si>
  <si>
    <t>price</t>
  </si>
  <si>
    <t>discountPercentage</t>
  </si>
  <si>
    <t>rating</t>
  </si>
  <si>
    <t>stock</t>
  </si>
  <si>
    <t>tags</t>
  </si>
  <si>
    <t>brand</t>
  </si>
  <si>
    <t>weight</t>
  </si>
  <si>
    <t>warrantyInformation</t>
  </si>
  <si>
    <t>shippingInformation</t>
  </si>
  <si>
    <t>availabilityStatus</t>
  </si>
  <si>
    <t>reviews</t>
  </si>
  <si>
    <t>returnPolicy</t>
  </si>
  <si>
    <t>minimumOrderQuantity</t>
  </si>
  <si>
    <t>Summary of the description using AI</t>
  </si>
  <si>
    <t>Sentiment Analysis</t>
  </si>
  <si>
    <t>Essence Mascara Lash Princess</t>
  </si>
  <si>
    <t>The Essence Mascara Lash Princess is a popular mascara known for its volumizing and lengthening effects. Achieve dramatic lashes with this long-lasting and cruelty-free formula.</t>
  </si>
  <si>
    <t>beauty</t>
  </si>
  <si>
    <t>['beauty', 'mascara']</t>
  </si>
  <si>
    <t>Essence</t>
  </si>
  <si>
    <t>1 week warranty</t>
  </si>
  <si>
    <t>Ships in 3-5 business days</t>
  </si>
  <si>
    <t>In Stock</t>
  </si>
  <si>
    <t>[{'rating': 3, 'comment': 'Would not recommend!', 'date': '2025-04-30T09:41:02.053Z', 'reviewerName': 'Eleanor Collins', 'reviewerEmail': 'eleanor.collins@x.dummyjson.com'}, {'rating': 4, 'comment': 'Very satisfied!', 'date': '2025-04-30T09:41:02.053Z', 'reviewerName': 'Lucas Gordon', 'reviewerEmail': 'lucas.gordon@x.dummyjson.com'}, {'rating': 5, 'comment': 'Highly impressed!', 'date': '2025-04-30T09:41:02.053Z', 'reviewerName': 'Eleanor Collins', 'reviewerEmail': 'eleanor.collins@x.dummyjson.com'}]</t>
  </si>
  <si>
    <t>No return policy</t>
  </si>
  <si>
    <t>Eyeshadow Palette with Mirror</t>
  </si>
  <si>
    <t>The Eyeshadow Palette with Mirror offers a versatile range of eyeshadow shades for creating stunning eye looks. With a built-in mirror, it's convenient for on-the-go makeup application.</t>
  </si>
  <si>
    <t>['beauty', 'eyeshadow']</t>
  </si>
  <si>
    <t>Glamour Beauty</t>
  </si>
  <si>
    <t>1 year warranty</t>
  </si>
  <si>
    <t>Ships in 2 weeks</t>
  </si>
  <si>
    <t>[{'rating': 5, 'comment': 'Great product!', 'date': '2025-04-30T09:41:02.053Z', 'reviewerName': 'Savannah Gomez', 'reviewerEmail': 'savannah.gomez@x.dummyjson.com'}, {'rating': 4, 'comment': 'Awesome product!', 'date': '2025-04-30T09:41:02.053Z', 'reviewerName': 'Christian Perez', 'reviewerEmail': 'christian.perez@x.dummyjson.com'}, {'rating': 1, 'comment': 'Poor quality!', 'date': '2025-04-30T09:41:02.053Z', 'reviewerName': 'Nicholas Bailey', 'reviewerEmail': 'nicholas.bailey@x.dummyjson.com'}]</t>
  </si>
  <si>
    <t>7 days return policy</t>
  </si>
  <si>
    <t>Powder Canister</t>
  </si>
  <si>
    <t>The Powder Canister is a finely milled setting powder designed to set makeup and control shine. With a lightweight and translucent formula, it provides a smooth and matte finish.</t>
  </si>
  <si>
    <t>['beauty', 'face powder']</t>
  </si>
  <si>
    <t>Velvet Touch</t>
  </si>
  <si>
    <t>3 months warranty</t>
  </si>
  <si>
    <t>Ships in 1-2 business days</t>
  </si>
  <si>
    <t>[{'rating': 4, 'comment': 'Would buy again!', 'date': '2025-04-30T09:41:02.053Z', 'reviewerName': 'Alexander Jones', 'reviewerEmail': 'alexander.jones@x.dummyjson.com'}, {'rating': 5, 'comment': 'Highly impressed!', 'date': '2025-04-30T09:41:02.053Z', 'reviewerName': 'Elijah Cruz', 'reviewerEmail': 'elijah.cruz@x.dummyjson.com'}, {'rating': 1, 'comment': 'Very dissatisfied!', 'date': '2025-04-30T09:41:02.053Z', 'reviewerName': 'Avery Perez', 'reviewerEmail': 'avery.perez@x.dummyjson.com'}]</t>
  </si>
  <si>
    <t>Red Lipstick</t>
  </si>
  <si>
    <t>The Red Lipstick is a classic and bold choice for adding a pop of color to your lips. With a creamy and pigmented formula, it provides a vibrant and long-lasting finish.</t>
  </si>
  <si>
    <t>['beauty', 'lipstick']</t>
  </si>
  <si>
    <t>Chic Cosmetics</t>
  </si>
  <si>
    <t>3 year warranty</t>
  </si>
  <si>
    <t>Ships in 1 week</t>
  </si>
  <si>
    <t>[{'rating': 4, 'comment': 'Great product!', 'date': '2025-04-30T09:41:02.053Z', 'reviewerName': 'Liam Garcia', 'reviewerEmail': 'liam.garcia@x.dummyjson.com'}, {'rating': 5, 'comment': 'Great product!', 'date': '2025-04-30T09:41:02.053Z', 'reviewerName': 'Ruby Andrews', 'reviewerEmail': 'ruby.andrews@x.dummyjson.com'}, {'rating': 5, 'comment': 'Would buy again!', 'date': '2025-04-30T09:41:02.053Z', 'reviewerName': 'Clara Berry', 'reviewerEmail': 'clara.berry@x.dummyjson.com'}]</t>
  </si>
  <si>
    <t>Red Nail Polish</t>
  </si>
  <si>
    <t>The Red Nail Polish offers a rich and glossy red hue for vibrant and polished nails. With a quick-drying formula, it provides a salon-quality finish at home.</t>
  </si>
  <si>
    <t>['beauty', 'nail polish']</t>
  </si>
  <si>
    <t>Nail Couture</t>
  </si>
  <si>
    <t>1 month warranty</t>
  </si>
  <si>
    <t>Ships overnight</t>
  </si>
  <si>
    <t>[{'rating': 2, 'comment': 'Poor quality!', 'date': '2025-04-30T09:41:02.053Z', 'reviewerName': 'Benjamin Wilson', 'reviewerEmail': 'benjamin.wilson@x.dummyjson.com'}, {'rating': 5, 'comment': 'Great product!', 'date': '2025-04-30T09:41:02.053Z', 'reviewerName': 'Liam Smith', 'reviewerEmail': 'liam.smith@x.dummyjson.com'}, {'rating': 1, 'comment': 'Very unhappy with my purchase!', 'date': '2025-04-30T09:41:02.053Z', 'reviewerName': 'Clara Berry', 'reviewerEmail': 'clara.berry@x.dummyjson.com'}]</t>
  </si>
  <si>
    <t>Calvin Klein CK One</t>
  </si>
  <si>
    <t>CK One by Calvin Klein is a classic unisex fragrance, known for its fresh and clean scent. It's a versatile fragrance suitable for everyday wear.</t>
  </si>
  <si>
    <t>fragrances</t>
  </si>
  <si>
    <t>['fragrances', 'perfumes']</t>
  </si>
  <si>
    <t>Calvin Klein</t>
  </si>
  <si>
    <t>[{'rating': 2, 'comment': 'Very disappointed!', 'date': '2025-04-30T09:41:02.053Z', 'reviewerName': 'Layla Young', 'reviewerEmail': 'layla.young@x.dummyjson.com'}, {'rating': 4, 'comment': 'Fast shipping!', 'date': '2025-04-30T09:41:02.053Z', 'reviewerName': 'Daniel Cook', 'reviewerEmail': 'daniel.cook@x.dummyjson.com'}, {'rating': 3, 'comment': 'Not as described!', 'date': '2025-04-30T09:41:02.053Z', 'reviewerName': 'Jacob Cooper', 'reviewerEmail': 'jacob.cooper@x.dummyjson.com'}]</t>
  </si>
  <si>
    <t>90 days return policy</t>
  </si>
  <si>
    <t>Chanel Coco Noir Eau De</t>
  </si>
  <si>
    <t>Coco Noir by Chanel is an elegant and mysterious fragrance, featuring notes of grapefruit, rose, and sandalwood. Perfect for evening occasions.</t>
  </si>
  <si>
    <t>Chanel</t>
  </si>
  <si>
    <t>[{'rating': 4, 'comment': 'Highly impressed!', 'date': '2025-04-30T09:41:02.053Z', 'reviewerName': 'Ruby Andrews', 'reviewerEmail': 'ruby.andrews@x.dummyjson.com'}, {'rating': 5, 'comment': 'Awesome product!', 'date': '2025-04-30T09:41:02.053Z', 'reviewerName': 'Leah Henderson', 'reviewerEmail': 'leah.henderson@x.dummyjson.com'}, {'rating': 5, 'comment': 'Very happy with my purchase!', 'date': '2025-04-30T09:41:02.053Z', 'reviewerName': 'Xavier Wright', 'reviewerEmail': 'xavier.wright@x.dummyjson.com'}]</t>
  </si>
  <si>
    <t>Dior J'adore</t>
  </si>
  <si>
    <t>J'adore by Dior is a luxurious and floral fragrance, known for its blend of ylang-ylang, rose, and jasmine. It embodies femininity and sophistication.</t>
  </si>
  <si>
    <t>Dior</t>
  </si>
  <si>
    <t>[{'rating': 5, 'comment': 'Great value for money!', 'date': '2025-04-30T09:41:02.053Z', 'reviewerName': 'Nicholas Bailey', 'reviewerEmail': 'nicholas.bailey@x.dummyjson.com'}, {'rating': 4, 'comment': 'Great value for money!', 'date': '2025-04-30T09:41:02.053Z', 'reviewerName': 'Penelope Harper', 'reviewerEmail': 'penelope.harper@x.dummyjson.com'}, {'rating': 4, 'comment': 'Great product!', 'date': '2025-04-30T09:41:02.053Z', 'reviewerName': 'Emma Miller', 'reviewerEmail': 'emma.miller@x.dummyjson.com'}]</t>
  </si>
  <si>
    <t>Dolce Shine Eau de</t>
  </si>
  <si>
    <t>Dolce Shine by Dolce &amp; Gabbana is a vibrant and fruity fragrance, featuring notes of mango, jasmine, and blonde woods. It's a joyful and youthful scent.</t>
  </si>
  <si>
    <t>Dolce &amp; Gabbana</t>
  </si>
  <si>
    <t>Ships in 1 month</t>
  </si>
  <si>
    <t>Low Stock</t>
  </si>
  <si>
    <t>[{'rating': 4, 'comment': 'Would buy again!', 'date': '2025-04-30T09:41:02.053Z', 'reviewerName': 'Mateo Bennett', 'reviewerEmail': 'mateo.bennett@x.dummyjson.com'}, {'rating': 4, 'comment': 'Highly recommended!', 'date': '2025-04-30T09:41:02.053Z', 'reviewerName': 'Nolan Gonzalez', 'reviewerEmail': 'nolan.gonzalez@x.dummyjson.com'}, {'rating': 5, 'comment': 'Very happy with my purchase!', 'date': '2025-04-30T09:41:02.053Z', 'reviewerName': 'Aurora Lawson', 'reviewerEmail': 'aurora.lawson@x.dummyjson.com'}]</t>
  </si>
  <si>
    <t>Gucci Bloom Eau de</t>
  </si>
  <si>
    <t>Gucci Bloom by Gucci is a floral and captivating fragrance, with notes of tuberose, jasmine, and Rangoon creeper. It's a modern and romantic scent.</t>
  </si>
  <si>
    <t>Gucci</t>
  </si>
  <si>
    <t>6 months warranty</t>
  </si>
  <si>
    <t>[{'rating': 1, 'comment': 'Very dissatisfied!', 'date': '2025-04-30T09:41:02.053Z', 'reviewerName': 'Cameron Perez', 'reviewerEmail': 'cameron.perez@x.dummyjson.com'}, {'rating': 5, 'comment': 'Very happy with my purchase!', 'date': '2025-04-30T09:41:02.053Z', 'reviewerName': 'Daniel Cook', 'reviewerEmail': 'daniel.cook@x.dummyjson.com'}, {'rating': 4, 'comment': 'Highly impressed!', 'date': '2025-04-30T09:41:02.053Z', 'reviewerName': 'Addison Wright', 'reviewerEmail': 'addison.wright@x.dummyjson.com'}]</t>
  </si>
  <si>
    <t>Annibale Colombo Bed</t>
  </si>
  <si>
    <t>The Annibale Colombo Bed is a luxurious and elegant bed frame, crafted with high-quality materials for a comfortable and stylish bedroom.</t>
  </si>
  <si>
    <t>furniture</t>
  </si>
  <si>
    <t>['furniture', 'beds']</t>
  </si>
  <si>
    <t>Annibale Colombo</t>
  </si>
  <si>
    <t>[{'rating': 2, 'comment': 'Would not recommend!', 'date': '2025-04-30T09:41:02.053Z', 'reviewerName': 'Christopher West', 'reviewerEmail': 'christopher.west@x.dummyjson.com'}, {'rating': 4, 'comment': 'Highly impressed!', 'date': '2025-04-30T09:41:02.053Z', 'reviewerName': 'Vivian Carter', 'reviewerEmail': 'vivian.carter@x.dummyjson.com'}, {'rating': 1, 'comment': 'Poor quality!', 'date': '2025-04-30T09:41:02.053Z', 'reviewerName': 'Mason Wright', 'reviewerEmail': 'mason.wright@x.dummyjson.com'}]</t>
  </si>
  <si>
    <t>Annibale Colombo Sofa</t>
  </si>
  <si>
    <t>The Annibale Colombo Sofa is a sophisticated and comfortable seating option, featuring exquisite design and premium upholstery for your living room.</t>
  </si>
  <si>
    <t>['furniture', 'sofas']</t>
  </si>
  <si>
    <t>Lifetime warranty</t>
  </si>
  <si>
    <t>[{'rating': 3, 'comment': 'Very unhappy with my purchase!', 'date': '2025-04-30T09:41:02.053Z', 'reviewerName': 'Christian Perez', 'reviewerEmail': 'christian.perez@x.dummyjson.com'}, {'rating': 5, 'comment': 'Fast shipping!', 'date': '2025-04-30T09:41:02.053Z', 'reviewerName': 'Lillian Bishop', 'reviewerEmail': 'lillian.bishop@x.dummyjson.com'}, {'rating': 1, 'comment': 'Poor quality!', 'date': '2025-04-30T09:41:02.053Z', 'reviewerName': 'Lillian Simmons', 'reviewerEmail': 'lillian.simmons@x.dummyjson.com'}]</t>
  </si>
  <si>
    <t>Bedside Table African Cherry</t>
  </si>
  <si>
    <t>The Bedside Table in African Cherry is a stylish and functional addition to your bedroom, providing convenient storage space and a touch of elegance.</t>
  </si>
  <si>
    <t>['furniture', 'bedside tables']</t>
  </si>
  <si>
    <t>Furniture Co.</t>
  </si>
  <si>
    <t>5 year warranty</t>
  </si>
  <si>
    <t>[{'rating': 4, 'comment': 'Excellent quality!', 'date': '2025-04-30T09:41:02.053Z', 'reviewerName': 'Aaliyah Hanson', 'reviewerEmail': 'aaliyah.hanson@x.dummyjson.com'}, {'rating': 4, 'comment': 'Excellent quality!', 'date': '2025-04-30T09:41:02.053Z', 'reviewerName': 'Liam Smith', 'reviewerEmail': 'liam.smith@x.dummyjson.com'}, {'rating': 4, 'comment': 'Highly recommended!', 'date': '2025-04-30T09:41:02.053Z', 'reviewerName': 'Avery Barnes', 'reviewerEmail': 'avery.barnes@x.dummyjson.com'}]</t>
  </si>
  <si>
    <t>Knoll Saarinen Executive Conference Chair</t>
  </si>
  <si>
    <t>The Knoll Saarinen Executive Conference Chair is a modern and ergonomic chair, perfect for your office or conference room with its timeless design.</t>
  </si>
  <si>
    <t>['furniture', 'office chairs']</t>
  </si>
  <si>
    <t>Knoll</t>
  </si>
  <si>
    <t>2 year warranty</t>
  </si>
  <si>
    <t>[{'rating': 2, 'comment': 'Waste of money!', 'date': '2025-04-30T09:41:02.053Z', 'reviewerName': 'Ella Cook', 'reviewerEmail': 'ella.cook@x.dummyjson.com'}, {'rating': 2, 'comment': 'Very dissatisfied!', 'date': '2025-04-30T09:41:02.053Z', 'reviewerName': 'Clara Berry', 'reviewerEmail': 'clara.berry@x.dummyjson.com'}, {'rating': 5, 'comment': 'Would buy again!', 'date': '2025-04-30T09:41:02.053Z', 'reviewerName': 'Elena Long', 'reviewerEmail': 'elena.long@x.dummyjson.com'}]</t>
  </si>
  <si>
    <t>60 days return policy</t>
  </si>
  <si>
    <t>Wooden Bathroom Sink With Mirror</t>
  </si>
  <si>
    <t>The Wooden Bathroom Sink with Mirror is a unique and stylish addition to your bathroom, featuring a wooden sink countertop and a matching mirror.</t>
  </si>
  <si>
    <t>['furniture', 'bathroom']</t>
  </si>
  <si>
    <t>Bath Trends</t>
  </si>
  <si>
    <t>[{'rating': 4, 'comment': 'Fast shipping!', 'date': '2025-04-30T09:41:02.053Z', 'reviewerName': 'Logan Torres', 'reviewerEmail': 'logan.torres@x.dummyjson.com'}, {'rating': 5, 'comment': 'Very pleased!', 'date': '2025-04-30T09:41:02.053Z', 'reviewerName': 'Aria Parker', 'reviewerEmail': 'aria.parker@x.dummyjson.com'}, {'rating': 3, 'comment': 'Poor quality!', 'date': '2025-04-30T09:41:02.053Z', 'reviewerName': 'Dylan Wells', 'reviewerEmail': 'dylan.wells@x.dummyjson.com'}]</t>
  </si>
  <si>
    <t>Apple</t>
  </si>
  <si>
    <t>Fresh and crisp apples, perfect for snacking or incorporating into various recipes.</t>
  </si>
  <si>
    <t>groceries</t>
  </si>
  <si>
    <t>['fruits']</t>
  </si>
  <si>
    <t>[{'rating': 5, 'comment': 'Very satisfied!', 'date': '2025-04-30T09:41:02.053Z', 'reviewerName': 'Sophia Brown', 'reviewerEmail': 'sophia.brown@x.dummyjson.com'}, {'rating': 1, 'comment': 'Very dissatisfied!', 'date': '2025-04-30T09:41:02.053Z', 'reviewerName': 'Scarlett Bowman', 'reviewerEmail': 'scarlett.bowman@x.dummyjson.com'}, {'rating': 3, 'comment': 'Very unhappy with my purchase!', 'date': '2025-04-30T09:41:02.053Z', 'reviewerName': 'William Gonzalez', 'reviewerEmail': 'william.gonzalez@x.dummyjson.com'}]</t>
  </si>
  <si>
    <t>Beef Steak</t>
  </si>
  <si>
    <t>High-quality beef steak, great for grilling or cooking to your preferred level of doneness.</t>
  </si>
  <si>
    <t>['meat']</t>
  </si>
  <si>
    <t>[{'rating': 3, 'comment': 'Would not recommend!', 'date': '2025-04-30T09:41:02.053Z', 'reviewerName': 'Eleanor Tyler', 'reviewerEmail': 'eleanor.tyler@x.dummyjson.com'}, {'rating': 4, 'comment': 'Fast shipping!', 'date': '2025-04-30T09:41:02.053Z', 'reviewerName': 'Alexander Jones', 'reviewerEmail': 'alexander.jones@x.dummyjson.com'}, {'rating': 5, 'comment': 'Great value for money!', 'date': '2025-04-30T09:41:02.053Z', 'reviewerName': 'Natalie Harris', 'reviewerEmail': 'natalie.harris@x.dummyjson.com'}]</t>
  </si>
  <si>
    <t>Cat Food</t>
  </si>
  <si>
    <t>Nutritious cat food formulated to meet the dietary needs of your feline friend.</t>
  </si>
  <si>
    <t>['pet supplies', 'cat food']</t>
  </si>
  <si>
    <t>[{'rating': 3, 'comment': 'Would not recommend!', 'date': '2025-04-30T09:41:02.053Z', 'reviewerName': 'Noah Lewis', 'reviewerEmail': 'noah.lewis@x.dummyjson.com'}, {'rating': 3, 'comment': 'Very unhappy with my purchase!', 'date': '2025-04-30T09:41:02.053Z', 'reviewerName': 'Ruby Andrews', 'reviewerEmail': 'ruby.andrews@x.dummyjson.com'}, {'rating': 2, 'comment': 'Very disappointed!', 'date': '2025-04-30T09:41:02.053Z', 'reviewerName': 'Ethan Thompson', 'reviewerEmail': 'ethan.thompson@x.dummyjson.com'}]</t>
  </si>
  <si>
    <t>Chicken Meat</t>
  </si>
  <si>
    <t>Fresh and tender chicken meat, suitable for various culinary preparations.</t>
  </si>
  <si>
    <t>[{'rating': 5, 'comment': 'Great product!', 'date': '2025-04-30T09:41:02.053Z', 'reviewerName': 'Mateo Bennett', 'reviewerEmail': 'mateo.bennett@x.dummyjson.com'}, {'rating': 4, 'comment': 'Highly recommended!', 'date': '2025-04-30T09:41:02.053Z', 'reviewerName': 'Jackson Evans', 'reviewerEmail': 'jackson.evans@x.dummyjson.com'}, {'rating': 3, 'comment': 'Not worth the price!', 'date': '2025-04-30T09:41:02.053Z', 'reviewerName': 'Sadie Morales', 'reviewerEmail': 'sadie.morales@x.dummyjson.com'}]</t>
  </si>
  <si>
    <t>Cooking Oil</t>
  </si>
  <si>
    <t>Versatile cooking oil suitable for frying, sautéing, and various culinary applications.</t>
  </si>
  <si>
    <t>['cooking essentials']</t>
  </si>
  <si>
    <t>[{'rating': 5, 'comment': 'Very happy with my purchase!', 'date': '2025-04-30T09:41:02.053Z', 'reviewerName': 'Victoria McDonald', 'reviewerEmail': 'victoria.mcdonald@x.dummyjson.com'}, {'rating': 2, 'comment': 'Would not recommend!', 'date': '2025-04-30T09:41:02.053Z', 'reviewerName': 'Hazel Evans', 'reviewerEmail': 'hazel.evans@x.dummyjson.com'}, {'rating': 5, 'comment': 'Would buy again!', 'date': '2025-04-30T09:41:02.053Z', 'reviewerName': 'Zoe Bennett', 'reviewerEmail': 'zoe.bennett@x.dummyjson.com'}]</t>
  </si>
  <si>
    <t>30 days return policy</t>
  </si>
  <si>
    <t>Cucumber</t>
  </si>
  <si>
    <t>Crisp and hydrating cucumbers, ideal for salads, snacks, or as a refreshing side.</t>
  </si>
  <si>
    <t>['vegetables']</t>
  </si>
  <si>
    <t>[{'rating': 4, 'comment': 'Great product!', 'date': '2025-04-30T09:41:02.053Z', 'reviewerName': 'Lincoln Kelly', 'reviewerEmail': 'lincoln.kelly@x.dummyjson.com'}, {'rating': 4, 'comment': 'Great value for money!', 'date': '2025-04-30T09:41:02.053Z', 'reviewerName': 'Savannah Gomez', 'reviewerEmail': 'savannah.gomez@x.dummyjson.com'}, {'rating': 2, 'comment': 'Poor quality!', 'date': '2025-04-30T09:41:02.053Z', 'reviewerName': 'James Davis', 'reviewerEmail': 'james.davis@x.dummyjson.com'}]</t>
  </si>
  <si>
    <t>Dog Food</t>
  </si>
  <si>
    <t>Specially formulated dog food designed to provide essential nutrients for your canine companion.</t>
  </si>
  <si>
    <t>['pet supplies', 'dog food']</t>
  </si>
  <si>
    <t>No warranty</t>
  </si>
  <si>
    <t>[{'rating': 5, 'comment': 'Excellent quality!', 'date': '2025-04-30T09:41:02.053Z', 'reviewerName': 'Nicholas Edwards', 'reviewerEmail': 'nicholas.edwards@x.dummyjson.com'}, {'rating': 5, 'comment': 'Awesome product!', 'date': '2025-04-30T09:41:02.053Z', 'reviewerName': 'Zachary Lee', 'reviewerEmail': 'zachary.lee@x.dummyjson.com'}, {'rating': 4, 'comment': 'Great product!', 'date': '2025-04-30T09:41:02.053Z', 'reviewerName': 'Nova Cooper', 'reviewerEmail': 'nova.cooper@x.dummyjson.com'}]</t>
  </si>
  <si>
    <t>Eggs</t>
  </si>
  <si>
    <t>Fresh eggs, a versatile ingredient for baking, cooking, or breakfast.</t>
  </si>
  <si>
    <t>['dairy']</t>
  </si>
  <si>
    <t>[{'rating': 3, 'comment': 'Disappointing product!', 'date': '2025-04-30T09:41:02.053Z', 'reviewerName': 'Penelope King', 'reviewerEmail': 'penelope.king@x.dummyjson.com'}, {'rating': 3, 'comment': 'Poor quality!', 'date': '2025-04-30T09:41:02.053Z', 'reviewerName': 'Eleanor Tyler', 'reviewerEmail': 'eleanor.tyler@x.dummyjson.com'}, {'rating': 4, 'comment': 'Very pleased!', 'date': '2025-04-30T09:41:02.053Z', 'reviewerName': 'Benjamin Foster', 'reviewerEmail': 'benjamin.foster@x.dummyjson.com'}]</t>
  </si>
  <si>
    <t>Fish Steak</t>
  </si>
  <si>
    <t>Quality fish steak, suitable for grilling, baking, or pan-searing.</t>
  </si>
  <si>
    <t>['seafood']</t>
  </si>
  <si>
    <t>[{'rating': 2, 'comment': 'Would not buy again!', 'date': '2025-04-30T09:41:02.053Z', 'reviewerName': 'Caleb Perkins', 'reviewerEmail': 'caleb.perkins@x.dummyjson.com'}, {'rating': 5, 'comment': 'Excellent quality!', 'date': '2025-04-30T09:41:02.053Z', 'reviewerName': 'Isabella Jackson', 'reviewerEmail': 'isabella.jackson@x.dummyjson.com'}, {'rating': 4, 'comment': 'Great value for money!', 'date': '2025-04-30T09:41:02.053Z', 'reviewerName': 'Nathan Dixon', 'reviewerEmail': 'nathan.dixon@x.dummyjson.com'}]</t>
  </si>
  <si>
    <t>Green Bell Pepper</t>
  </si>
  <si>
    <t>Fresh and vibrant green bell pepper, perfect for adding color and flavor to your dishes.</t>
  </si>
  <si>
    <t>[{'rating': 4, 'comment': 'Highly recommended!', 'date': '2025-04-30T09:41:02.053Z', 'reviewerName': 'Avery Carter', 'reviewerEmail': 'avery.carter@x.dummyjson.com'}, {'rating': 3, 'comment': 'Would not recommend!', 'date': '2025-04-30T09:41:02.053Z', 'reviewerName': 'Henry Hill', 'reviewerEmail': 'henry.hill@x.dummyjson.com'}, {'rating': 5, 'comment': 'Excellent quality!', 'date': '2025-04-30T09:41:02.053Z', 'reviewerName': 'Addison Wright', 'reviewerEmail': 'addison.wright@x.dummyjson.com'}]</t>
  </si>
  <si>
    <t>Green Chili Pepper</t>
  </si>
  <si>
    <t>Spicy green chili pepper, ideal for adding heat to your favorite recipes.</t>
  </si>
  <si>
    <t>[{'rating': 4, 'comment': 'Great product!', 'date': '2025-04-30T09:41:02.053Z', 'reviewerName': 'Luna Russell', 'reviewerEmail': 'luna.russell@x.dummyjson.com'}, {'rating': 1, 'comment': 'Waste of money!', 'date': '2025-04-30T09:41:02.053Z', 'reviewerName': 'Noah Lewis', 'reviewerEmail': 'noah.lewis@x.dummyjson.com'}, {'rating': 3, 'comment': 'Very disappointed!', 'date': '2025-04-30T09:41:02.053Z', 'reviewerName': 'Clara Berry', 'reviewerEmail': 'clara.berry@x.dummyjson.com'}]</t>
  </si>
  <si>
    <t>Honey Jar</t>
  </si>
  <si>
    <t>Pure and natural honey in a convenient jar, perfect for sweetening beverages or drizzling over food.</t>
  </si>
  <si>
    <t>['condiments']</t>
  </si>
  <si>
    <t>[{'rating': 1, 'comment': 'Very disappointed!', 'date': '2025-04-30T09:41:02.053Z', 'reviewerName': 'Autumn Gomez', 'reviewerEmail': 'autumn.gomez@x.dummyjson.com'}, {'rating': 4, 'comment': 'Highly impressed!', 'date': '2025-04-30T09:41:02.053Z', 'reviewerName': 'Benjamin Wilson', 'reviewerEmail': 'benjamin.wilson@x.dummyjson.com'}, {'rating': 2, 'comment': 'Very disappointed!', 'date': '2025-04-30T09:41:02.053Z', 'reviewerName': 'Nicholas Edwards', 'reviewerEmail': 'nicholas.edwards@x.dummyjson.com'}]</t>
  </si>
  <si>
    <t>Ice Cream</t>
  </si>
  <si>
    <t>Creamy and delicious ice cream, available in various flavors for a delightful treat.</t>
  </si>
  <si>
    <t>['desserts']</t>
  </si>
  <si>
    <t>[{'rating': 5, 'comment': 'Very pleased!', 'date': '2025-04-30T09:41:02.053Z', 'reviewerName': 'Elijah Cruz', 'reviewerEmail': 'elijah.cruz@x.dummyjson.com'}, {'rating': 4, 'comment': 'Excellent quality!', 'date': '2025-04-30T09:41:02.053Z', 'reviewerName': 'Jace Smith', 'reviewerEmail': 'jace.smith@x.dummyjson.com'}, {'rating': 5, 'comment': 'Highly impressed!', 'date': '2025-04-30T09:41:02.053Z', 'reviewerName': 'Sadie Morales', 'reviewerEmail': 'sadie.morales@x.dummyjson.com'}]</t>
  </si>
  <si>
    <t>Juice</t>
  </si>
  <si>
    <t>Refreshing fruit juice, packed with vitamins and great for staying hydrated.</t>
  </si>
  <si>
    <t>['beverages']</t>
  </si>
  <si>
    <t>[{'rating': 5, 'comment': 'Excellent quality!', 'date': '2025-04-30T09:41:02.053Z', 'reviewerName': 'Nolan Gonzalez', 'reviewerEmail': 'nolan.gonzalez@x.dummyjson.com'}, {'rating': 4, 'comment': 'Would buy again!', 'date': '2025-04-30T09:41:02.053Z', 'reviewerName': 'Bella Grant', 'reviewerEmail': 'bella.grant@x.dummyjson.com'}, {'rating': 5, 'comment': 'Awesome product!', 'date': '2025-04-30T09:41:02.053Z', 'reviewerName': 'Aria Flores', 'reviewerEmail': 'aria.flores@x.dummyjson.com'}]</t>
  </si>
  <si>
    <t>Kiwi</t>
  </si>
  <si>
    <t>Nutrient-rich kiwi, perfect for snacking or adding a tropical twist to your dishes.</t>
  </si>
  <si>
    <t>[{'rating': 4, 'comment': 'Highly recommended!', 'date': '2025-04-30T09:41:02.053Z', 'reviewerName': 'Emily Brown', 'reviewerEmail': 'emily.brown@x.dummyjson.com'}, {'rating': 2, 'comment': 'Would not buy again!', 'date': '2025-04-30T09:41:02.053Z', 'reviewerName': 'Jackson Morales', 'reviewerEmail': 'jackson.morales@x.dummyjson.com'}, {'rating': 4, 'comment': 'Fast shipping!', 'date': '2025-04-30T09:41:02.053Z', 'reviewerName': 'Nora Russell', 'reviewerEmail': 'nora.russell@x.dummyjson.com'}]</t>
  </si>
  <si>
    <t>Lemon</t>
  </si>
  <si>
    <t>Zesty and tangy lemons, versatile for cooking, baking, or making refreshing beverages.</t>
  </si>
  <si>
    <t>[{'rating': 5, 'comment': 'Awesome product!', 'date': '2025-04-30T09:41:02.053Z', 'reviewerName': 'Logan Lawson', 'reviewerEmail': 'logan.lawson@x.dummyjson.com'}, {'rating': 5, 'comment': 'Highly impressed!', 'date': '2025-04-30T09:41:02.053Z', 'reviewerName': 'Avery Perez', 'reviewerEmail': 'avery.perez@x.dummyjson.com'}, {'rating': 5, 'comment': 'Very satisfied!', 'date': '2025-04-30T09:41:02.053Z', 'reviewerName': 'Benjamin Foster', 'reviewerEmail': 'benjamin.foster@x.dummyjson.com'}]</t>
  </si>
  <si>
    <t>Milk</t>
  </si>
  <si>
    <t>Fresh and nutritious milk, a staple for various recipes and daily consumption.</t>
  </si>
  <si>
    <t>[{'rating': 4, 'comment': 'Very satisfied!', 'date': '2025-04-30T09:41:02.053Z', 'reviewerName': 'Nicholas Bailey', 'reviewerEmail': 'nicholas.bailey@x.dummyjson.com'}, {'rating': 3, 'comment': 'Would not buy again!', 'date': '2025-04-30T09:41:02.053Z', 'reviewerName': 'Harper Turner', 'reviewerEmail': 'harper.turner@x.dummyjson.com'}, {'rating': 5, 'comment': 'Great value for money!', 'date': '2025-04-30T09:41:02.053Z', 'reviewerName': 'Autumn Gomez', 'reviewerEmail': 'autumn.gomez@x.dummyjson.com'}]</t>
  </si>
  <si>
    <t>Mulberry</t>
  </si>
  <si>
    <t>Sweet and juicy mulberries, perfect for snacking or adding to desserts and cereals.</t>
  </si>
  <si>
    <t>[{'rating': 5, 'comment': 'Fast shipping!', 'date': '2025-04-30T09:41:02.053Z', 'reviewerName': 'Avery Barnes', 'reviewerEmail': 'avery.barnes@x.dummyjson.com'}, {'rating': 2, 'comment': 'Not worth the price!', 'date': '2025-04-30T09:41:02.053Z', 'reviewerName': 'Sadie Morales', 'reviewerEmail': 'sadie.morales@x.dummyjson.com'}, {'rating': 1, 'comment': 'Would not buy again!', 'date': '2025-04-30T09:41:02.053Z', 'reviewerName': 'Oscar Powers', 'reviewerEmail': 'oscar.powers@x.dummyjson.com'}]</t>
  </si>
  <si>
    <t>Nescafe Coffee</t>
  </si>
  <si>
    <t>Quality coffee from Nescafe, available in various blends for a rich and satisfying cup.</t>
  </si>
  <si>
    <t>['beverages', 'coffee']</t>
  </si>
  <si>
    <t>[{'rating': 5, 'comment': 'Very pleased!', 'date': '2025-04-30T09:41:02.053Z', 'reviewerName': 'Gabriel Adams', 'reviewerEmail': 'gabriel.adams@x.dummyjson.com'}, {'rating': 5, 'comment': 'Highly recommended!', 'date': '2025-04-30T09:41:02.053Z', 'reviewerName': 'Ella Cook', 'reviewerEmail': 'ella.cook@x.dummyjson.com'}, {'rating': 4, 'comment': 'Would buy again!', 'date': '2025-04-30T09:41:02.053Z', 'reviewerName': 'Logan Torres', 'reviewerEmail': 'logan.torres@x.dummyjson.com'}]</t>
  </si>
  <si>
    <t>Potatoes</t>
  </si>
  <si>
    <t>Versatile and starchy potatoes, great for roasting, mashing, or as a side dish.</t>
  </si>
  <si>
    <t>[{'rating': 5, 'comment': 'Highly impressed!', 'date': '2025-04-30T09:41:02.053Z', 'reviewerName': 'Eleanor Collins', 'reviewerEmail': 'eleanor.collins@x.dummyjson.com'}, {'rating': 4, 'comment': 'Fast shipping!', 'date': '2025-04-30T09:41:02.053Z', 'reviewerName': 'Lily Torres', 'reviewerEmail': 'lily.torres@x.dummyjson.com'}, {'rating': 5, 'comment': 'Highly recommended!', 'date': '2025-04-30T09:41:02.053Z', 'reviewerName': 'Ariana Ross', 'reviewerEmail': 'ariana.ross@x.dummyjson.com'}]</t>
  </si>
  <si>
    <t>Protein Powder</t>
  </si>
  <si>
    <t>Nutrient-packed protein powder, ideal for supplementing your diet with essential proteins.</t>
  </si>
  <si>
    <t>['health supplements']</t>
  </si>
  <si>
    <t>[{'rating': 3, 'comment': 'Very unhappy with my purchase!', 'date': '2025-04-30T09:41:02.053Z', 'reviewerName': 'Aurora Rodriguez', 'reviewerEmail': 'aurora.rodriguez@x.dummyjson.com'}, {'rating': 4, 'comment': 'Would buy again!', 'date': '2025-04-30T09:41:02.053Z', 'reviewerName': 'Miles Stevenson', 'reviewerEmail': 'miles.stevenson@x.dummyjson.com'}, {'rating': 4, 'comment': 'Very happy with my purchase!', 'date': '2025-04-30T09:41:02.053Z', 'reviewerName': 'Clara Berry', 'reviewerEmail': 'clara.berry@x.dummyjson.com'}]</t>
  </si>
  <si>
    <t>Red Onions</t>
  </si>
  <si>
    <t>Flavorful and aromatic red onions, perfect for adding depth to your savory dishes.</t>
  </si>
  <si>
    <t>[{'rating': 4, 'comment': 'Fast shipping!', 'date': '2025-04-30T09:41:02.053Z', 'reviewerName': 'Maya Reed', 'reviewerEmail': 'maya.reed@x.dummyjson.com'}, {'rating': 3, 'comment': 'Very dissatisfied!', 'date': '2025-04-30T09:41:02.053Z', 'reviewerName': 'Evelyn Gonzalez', 'reviewerEmail': 'evelyn.gonzalez@x.dummyjson.com'}, {'rating': 5, 'comment': 'Awesome product!', 'date': '2025-04-30T09:41:02.053Z', 'reviewerName': 'Jackson Evans', 'reviewerEmail': 'jackson.evans@x.dummyjson.com'}]</t>
  </si>
  <si>
    <t>Rice</t>
  </si>
  <si>
    <t>High-quality rice, a staple for various cuisines and a versatile base for many dishes.</t>
  </si>
  <si>
    <t>['grains']</t>
  </si>
  <si>
    <t>[{'rating': 5, 'comment': 'Would buy again!', 'date': '2025-04-30T09:41:02.053Z', 'reviewerName': 'Sophia Brown', 'reviewerEmail': 'sophia.brown@x.dummyjson.com'}, {'rating': 4, 'comment': 'Very satisfied!', 'date': '2025-04-30T09:41:02.053Z', 'reviewerName': 'Grace Perry', 'reviewerEmail': 'grace.perry@x.dummyjson.com'}, {'rating': 1, 'comment': 'Very disappointed!', 'date': '2025-04-30T09:41:02.053Z', 'reviewerName': 'Cameron Burke', 'reviewerEmail': 'cameron.burke@x.dummyjson.com'}]</t>
  </si>
  <si>
    <t>Soft Drinks</t>
  </si>
  <si>
    <t>Assorted soft drinks in various flavors, perfect for refreshing beverages.</t>
  </si>
  <si>
    <t>[{'rating': 2, 'comment': 'Would not recommend!', 'date': '2025-04-30T09:41:02.053Z', 'reviewerName': 'Zachary Lee', 'reviewerEmail': 'zachary.lee@x.dummyjson.com'}, {'rating': 2, 'comment': 'Would not recommend!', 'date': '2025-04-30T09:41:02.053Z', 'reviewerName': 'Oscar Powers', 'reviewerEmail': 'oscar.powers@x.dummyjson.com'}, {'rating': 5, 'comment': 'Highly recommended!', 'date': '2025-04-30T09:41:02.053Z', 'reviewerName': 'Hannah Robinson', 'reviewerEmail': 'hannah.robinson@x.dummyjson.com'}]</t>
  </si>
  <si>
    <t>Strawberry</t>
  </si>
  <si>
    <t>Sweet and succulent strawberries, great for snacking, desserts, or blending into smoothies.</t>
  </si>
  <si>
    <t>[{'rating': 3, 'comment': 'Would not buy again!', 'date': '2025-04-30T09:41:02.053Z', 'reviewerName': 'Amelia Perez', 'reviewerEmail': 'amelia.perez@x.dummyjson.com'}, {'rating': 3, 'comment': 'Would not buy again!', 'date': '2025-04-30T09:41:02.053Z', 'reviewerName': 'Olivia Wilson', 'reviewerEmail': 'olivia.wilson@x.dummyjson.com'}, {'rating': 4, 'comment': 'Would buy again!', 'date': '2025-04-30T09:41:02.053Z', 'reviewerName': 'Hunter Gordon', 'reviewerEmail': 'hunter.gordon@x.dummyjson.com'}]</t>
  </si>
  <si>
    <t>Tissue Paper Box</t>
  </si>
  <si>
    <t>Convenient tissue paper box for everyday use, providing soft and absorbent tissues.</t>
  </si>
  <si>
    <t>['household essentials']</t>
  </si>
  <si>
    <t>[{'rating': 1, 'comment': 'Not as described!', 'date': '2025-04-30T09:41:02.053Z', 'reviewerName': 'Ariana Ross', 'reviewerEmail': 'ariana.ross@x.dummyjson.com'}, {'rating': 5, 'comment': 'Fast shipping!', 'date': '2025-04-30T09:41:02.053Z', 'reviewerName': 'Carter Baker', 'reviewerEmail': 'carter.baker@x.dummyjson.com'}, {'rating': 5, 'comment': 'Great value for money!', 'date': '2025-04-30T09:41:02.053Z', 'reviewerName': 'Penelope Harper', 'reviewerEmail': 'penelope.harper@x.dummyjson.com'}]</t>
  </si>
  <si>
    <t>Water</t>
  </si>
  <si>
    <t>Pure and refreshing bottled water, essential for staying hydrated throughout the day.</t>
  </si>
  <si>
    <t>[{'rating': 5, 'comment': 'Highly impressed!', 'date': '2025-04-30T09:41:02.053Z', 'reviewerName': 'Jonathan Pierce', 'reviewerEmail': 'jonathan.pierce@x.dummyjson.com'}, {'rating': 2, 'comment': 'Would not recommend!', 'date': '2025-04-30T09:41:02.053Z', 'reviewerName': 'Grayson Coleman', 'reviewerEmail': 'grayson.coleman@x.dummyjson.com'}, {'rating': 3, 'comment': 'Not as described!', 'date': '2025-04-30T09:41:02.053Z', 'reviewerName': 'Ethan Fletcher', 'reviewerEmail': 'ethan.fletcher@x.dummyjson.com'}]</t>
  </si>
  <si>
    <t>Decoration Swing</t>
  </si>
  <si>
    <t>The Decoration Swing is a charming addition to your home decor. Crafted with intricate details, it adds a touch of elegance and whimsy to any room.</t>
  </si>
  <si>
    <t>home-decoration</t>
  </si>
  <si>
    <t>['home decor', 'swing']</t>
  </si>
  <si>
    <t>[{'rating': 1, 'comment': 'Would not buy again!', 'date': '2025-04-30T09:41:02.053Z', 'reviewerName': 'Daniel Cook', 'reviewerEmail': 'daniel.cook@x.dummyjson.com'}, {'rating': 2, 'comment': 'Poor quality!', 'date': '2025-04-30T09:41:02.053Z', 'reviewerName': 'Hunter Gordon', 'reviewerEmail': 'hunter.gordon@x.dummyjson.com'}, {'rating': 3, 'comment': 'Very unhappy with my purchase!', 'date': '2025-04-30T09:41:02.053Z', 'reviewerName': 'Stella Morris', 'reviewerEmail': 'stella.morris@x.dummyjson.com'}]</t>
  </si>
  <si>
    <t>Family Tree Photo Frame</t>
  </si>
  <si>
    <t>The Family Tree Photo Frame is a sentimental and stylish way to display your cherished family memories. With multiple photo slots, it tells the story of your loved ones.</t>
  </si>
  <si>
    <t>['home decor', 'photo frame']</t>
  </si>
  <si>
    <t>[{'rating': 4, 'comment': 'Highly impressed!', 'date': '2025-04-30T09:41:02.053Z', 'reviewerName': 'Oscar Powers', 'reviewerEmail': 'oscar.powers@x.dummyjson.com'}, {'rating': 5, 'comment': 'Excellent quality!', 'date': '2025-04-30T09:41:02.053Z', 'reviewerName': 'Austin Hudson', 'reviewerEmail': 'austin.hudson@x.dummyjson.com'}, {'rating': 2, 'comment': 'Very dissatisfied!', 'date': '2025-04-30T09:41:02.053Z', 'reviewerName': 'Luke Cooper', 'reviewerEmail': 'luke.cooper@x.dummyjson.com'}]</t>
  </si>
  <si>
    <t>House Showpiece Plant</t>
  </si>
  <si>
    <t>The House Showpiece Plant is an artificial plant that brings a touch of nature to your home without the need for maintenance. It adds greenery and style to any space.</t>
  </si>
  <si>
    <t>['home decor', 'artificial plants']</t>
  </si>
  <si>
    <t>[{'rating': 5, 'comment': 'Very happy with my purchase!', 'date': '2025-04-30T09:41:02.053Z', 'reviewerName': 'Natalie Harris', 'reviewerEmail': 'natalie.harris@x.dummyjson.com'}, {'rating': 1, 'comment': 'Poor quality!', 'date': '2025-04-30T09:41:02.053Z', 'reviewerName': 'Max Russell', 'reviewerEmail': 'max.russell@x.dummyjson.com'}, {'rating': 5, 'comment': 'Very pleased!', 'date': '2025-04-30T09:41:02.053Z', 'reviewerName': 'Nolan Gonzalez', 'reviewerEmail': 'nolan.gonzalez@x.dummyjson.com'}]</t>
  </si>
  <si>
    <t>Plant Pot</t>
  </si>
  <si>
    <t>The Plant Pot is a stylish container for your favorite plants. With a sleek design, it complements your indoor or outdoor garden, adding a modern touch to your plant display.</t>
  </si>
  <si>
    <t>['home decor', 'plant accessories']</t>
  </si>
  <si>
    <t>[{'rating': 4, 'comment': 'Fast shipping!', 'date': '2025-04-30T09:41:02.053Z', 'reviewerName': 'Vivian Carter', 'reviewerEmail': 'vivian.carter@x.dummyjson.com'}, {'rating': 5, 'comment': 'Very satisfied!', 'date': '2025-04-30T09:41:02.053Z', 'reviewerName': 'Ella Adams', 'reviewerEmail': 'ella.adams@x.dummyjson.com'}, {'rating': 3, 'comment': 'Poor quality!', 'date': '2025-04-30T09:41:02.053Z', 'reviewerName': 'Liam Smith', 'reviewerEmail': 'liam.smith@x.dummyjson.com'}]</t>
  </si>
  <si>
    <t>Table Lamp</t>
  </si>
  <si>
    <t>The Table Lamp is a functional and decorative lighting solution for your living space. With a modern design, it provides both ambient and task lighting, enhancing the atmosphere.</t>
  </si>
  <si>
    <t>['home decor', 'lighting']</t>
  </si>
  <si>
    <t>[{'rating': 5, 'comment': 'Excellent quality!', 'date': '2025-04-30T09:41:02.053Z', 'reviewerName': 'Benjamin Foster', 'reviewerEmail': 'benjamin.foster@x.dummyjson.com'}, {'rating': 3, 'comment': 'Would not recommend!', 'date': '2025-04-30T09:41:02.053Z', 'reviewerName': 'Sophia Jones', 'reviewerEmail': 'sophia.jones@x.dummyjson.com'}, {'rating': 5, 'comment': 'Awesome product!', 'date': '2025-04-30T09:41:02.053Z', 'reviewerName': 'Natalie Harris', 'reviewerEmail': 'natalie.harris@x.dummyjson.com'}]</t>
  </si>
  <si>
    <t>Bamboo Spatula</t>
  </si>
  <si>
    <t>The Bamboo Spatula is a versatile kitchen tool made from eco-friendly bamboo. Ideal for flipping, stirring, and serving various dishes.</t>
  </si>
  <si>
    <t>kitchen-accessories</t>
  </si>
  <si>
    <t>['kitchen tools', 'utensils']</t>
  </si>
  <si>
    <t>[{'rating': 5, 'comment': 'Awesome product!', 'date': '2025-04-30T09:41:02.053Z', 'reviewerName': 'Lucas Ramirez', 'reviewerEmail': 'lucas.ramirez@x.dummyjson.com'}, {'rating': 5, 'comment': 'Highly recommended!', 'date': '2025-04-30T09:41:02.053Z', 'reviewerName': 'Caleb Perkins', 'reviewerEmail': 'caleb.perkins@x.dummyjson.com'}, {'rating': 4, 'comment': 'Highly recommended!', 'date': '2025-04-30T09:41:02.053Z', 'reviewerName': 'Nolan Gonzalez', 'reviewerEmail': 'nolan.gonzalez@x.dummyjson.com'}]</t>
  </si>
  <si>
    <t>Black Aluminium Cup</t>
  </si>
  <si>
    <t>The Black Aluminium Cup is a stylish and durable cup suitable for both hot and cold beverages. Its sleek black design adds a modern touch to your drinkware collection.</t>
  </si>
  <si>
    <t>['drinkware', 'cups']</t>
  </si>
  <si>
    <t>[{'rating': 3, 'comment': 'Very disappointed!', 'date': '2025-04-30T09:41:02.053Z', 'reviewerName': 'Alexander Hernandez', 'reviewerEmail': 'alexander.hernandez@x.dummyjson.com'}, {'rating': 5, 'comment': 'Great value for money!', 'date': '2025-04-30T09:41:02.053Z', 'reviewerName': 'Aurora Rodriguez', 'reviewerEmail': 'aurora.rodriguez@x.dummyjson.com'}, {'rating': 1, 'comment': 'Not worth the price!', 'date': '2025-04-30T09:41:02.053Z', 'reviewerName': 'Benjamin Foster', 'reviewerEmail': 'benjamin.foster@x.dummyjson.com'}]</t>
  </si>
  <si>
    <t>Black Whisk</t>
  </si>
  <si>
    <t>The Black Whisk is a kitchen essential for whisking and beating ingredients. Its ergonomic handle and sleek design make it a practical and stylish tool.</t>
  </si>
  <si>
    <t>[{'rating': 3, 'comment': 'Not worth the price!', 'date': '2025-04-30T09:41:02.053Z', 'reviewerName': 'Cameron Perez', 'reviewerEmail': 'cameron.perez@x.dummyjson.com'}, {'rating': 1, 'comment': 'Waste of money!', 'date': '2025-04-30T09:41:02.053Z', 'reviewerName': 'Benjamin Foster', 'reviewerEmail': 'benjamin.foster@x.dummyjson.com'}, {'rating': 5, 'comment': 'Very pleased!', 'date': '2025-04-30T09:41:02.053Z', 'reviewerName': 'Paisley Bell', 'reviewerEmail': 'paisley.bell@x.dummyjson.com'}]</t>
  </si>
  <si>
    <t>Boxed Blender</t>
  </si>
  <si>
    <t>The Boxed Blender is a powerful and compact blender perfect for smoothies, shakes, and more. Its convenient design and multiple functions make it a versatile kitchen appliance.</t>
  </si>
  <si>
    <t>['kitchen appliances', 'blenders']</t>
  </si>
  <si>
    <t>[{'rating': 5, 'comment': 'Very pleased!', 'date': '2025-04-30T09:41:02.053Z', 'reviewerName': 'Ella Adams', 'reviewerEmail': 'ella.adams@x.dummyjson.com'}, {'rating': 5, 'comment': 'Would buy again!', 'date': '2025-04-30T09:41:02.053Z', 'reviewerName': 'Ruby Andrews', 'reviewerEmail': 'ruby.andrews@x.dummyjson.com'}, {'rating': 5, 'comment': 'Very happy with my purchase!', 'date': '2025-04-30T09:41:02.053Z', 'reviewerName': 'Aurora Lawson', 'reviewerEmail': 'aurora.lawson@x.dummyjson.com'}]</t>
  </si>
  <si>
    <t>Carbon Steel Wok</t>
  </si>
  <si>
    <t>The Carbon Steel Wok is a versatile cooking pan suitable for stir-frying, sautéing, and deep frying. Its sturdy construction ensures even heat distribution for delicious meals.</t>
  </si>
  <si>
    <t>['cookware', 'woks']</t>
  </si>
  <si>
    <t>[{'rating': 4, 'comment': 'Excellent quality!', 'date': '2025-04-30T09:41:02.053Z', 'reviewerName': 'Nolan Bryant', 'reviewerEmail': 'nolan.bryant@x.dummyjson.com'}, {'rating': 4, 'comment': 'Highly impressed!', 'date': '2025-04-30T09:41:02.053Z', 'reviewerName': 'Luna Perez', 'reviewerEmail': 'luna.perez@x.dummyjson.com'}, {'rating': 5, 'comment': 'Very satisfied!', 'date': '2025-04-30T09:41:02.053Z', 'reviewerName': 'Noah Lewis', 'reviewerEmail': 'noah.lewis@x.dummyjson.com'}]</t>
  </si>
  <si>
    <t>Chopping Board</t>
  </si>
  <si>
    <t>The Chopping Board is an essential kitchen accessory for food preparation. Made from durable material, it provides a safe and hygienic surface for cutting and chopping.</t>
  </si>
  <si>
    <t>['kitchen tools', 'cutting boards']</t>
  </si>
  <si>
    <t>[{'rating': 5, 'comment': 'Great value for money!', 'date': '2025-04-30T09:41:02.053Z', 'reviewerName': 'Xavier Wright', 'reviewerEmail': 'xavier.wright@x.dummyjson.com'}, {'rating': 4, 'comment': 'Great value for money!', 'date': '2025-04-30T09:41:02.053Z', 'reviewerName': 'Henry Turner', 'reviewerEmail': 'henry.turner@x.dummyjson.com'}, {'rating': 4, 'comment': 'Fast shipping!', 'date': '2025-04-30T09:41:02.053Z', 'reviewerName': 'Evelyn Walker', 'reviewerEmail': 'evelyn.walker@x.dummyjson.com'}]</t>
  </si>
  <si>
    <t>Citrus Squeezer Yellow</t>
  </si>
  <si>
    <t>The Citrus Squeezer in Yellow is a handy tool for extracting juice from citrus fruits. Its vibrant color adds a cheerful touch to your kitchen gadgets.</t>
  </si>
  <si>
    <t>['kitchen tools', 'juicers']</t>
  </si>
  <si>
    <t>[{'rating': 4, 'comment': 'Highly recommended!', 'date': '2025-04-30T09:41:02.053Z', 'reviewerName': 'Lucas Ramirez', 'reviewerEmail': 'lucas.ramirez@x.dummyjson.com'}, {'rating': 4, 'comment': 'Great product!', 'date': '2025-04-30T09:41:02.053Z', 'reviewerName': 'Eleanor Collins', 'reviewerEmail': 'eleanor.collins@x.dummyjson.com'}, {'rating': 5, 'comment': 'Highly impressed!', 'date': '2025-04-30T09:41:02.053Z', 'reviewerName': 'Mila Hernandez', 'reviewerEmail': 'mila.hernandez@x.dummyjson.com'}]</t>
  </si>
  <si>
    <t>Egg Slicer</t>
  </si>
  <si>
    <t>The Egg Slicer is a convenient tool for slicing boiled eggs evenly. It's perfect for salads, sandwiches, and other dishes where sliced eggs are desired.</t>
  </si>
  <si>
    <t>['kitchen tools', 'slicers']</t>
  </si>
  <si>
    <t>[{'rating': 3, 'comment': 'Very dissatisfied!', 'date': '2025-04-30T09:41:02.053Z', 'reviewerName': 'Harper Garcia', 'reviewerEmail': 'harper.garcia@x.dummyjson.com'}, {'rating': 4, 'comment': 'Very happy with my purchase!', 'date': '2025-04-30T09:41:02.053Z', 'reviewerName': 'Lily Torres', 'reviewerEmail': 'lily.torres@x.dummyjson.com'}, {'rating': 1, 'comment': 'Not worth the price!', 'date': '2025-04-30T09:41:02.053Z', 'reviewerName': 'Tyler Davis', 'reviewerEmail': 'tyler.davis@x.dummyjson.com'}]</t>
  </si>
  <si>
    <t>Electric Stove</t>
  </si>
  <si>
    <t>The Electric Stove provides a portable and efficient cooking solution. Ideal for small kitchens or as an additional cooking surface for various culinary needs.</t>
  </si>
  <si>
    <t>['kitchen appliances', 'cooktops']</t>
  </si>
  <si>
    <t>[{'rating': 1, 'comment': 'Would not recommend!', 'date': '2025-04-30T09:41:02.053Z', 'reviewerName': 'Ava Harris', 'reviewerEmail': 'ava.harris@x.dummyjson.com'}, {'rating': 2, 'comment': 'Very dissatisfied!', 'date': '2025-04-30T09:41:02.053Z', 'reviewerName': 'Liam Smith', 'reviewerEmail': 'liam.smith@x.dummyjson.com'}, {'rating': 4, 'comment': 'Very pleased!', 'date': '2025-04-30T09:41:02.053Z', 'reviewerName': 'Christian Perez', 'reviewerEmail': 'christian.perez@x.dummyjson.com'}]</t>
  </si>
  <si>
    <t>Fine Mesh Strainer</t>
  </si>
  <si>
    <t>The Fine Mesh Strainer is a versatile tool for straining liquids and sifting dry ingredients. Its fine mesh ensures efficient filtering for smooth cooking and baking.</t>
  </si>
  <si>
    <t>['kitchen tools', 'strainers']</t>
  </si>
  <si>
    <t>[{'rating': 5, 'comment': 'Very pleased!', 'date': '2025-04-30T09:41:02.053Z', 'reviewerName': 'Isabella Anderson', 'reviewerEmail': 'isabella.anderson@x.dummyjson.com'}, {'rating': 4, 'comment': 'Highly impressed!', 'date': '2025-04-30T09:41:02.053Z', 'reviewerName': 'Aaliyah Hanson', 'reviewerEmail': 'aaliyah.hanson@x.dummyjson.com'}, {'rating': 2, 'comment': 'Would not recommend!', 'date': '2025-04-30T09:41:02.053Z', 'reviewerName': 'Layla Sullivan', 'reviewerEmail': 'layla.sullivan@x.dummyjson.com'}]</t>
  </si>
  <si>
    <t>Fork</t>
  </si>
  <si>
    <t>The Fork is a classic utensil for various dining and serving purposes. Its durable and ergonomic design makes it a reliable choice for everyday use.</t>
  </si>
  <si>
    <t>[{'rating': 5, 'comment': 'Highly impressed!', 'date': '2025-04-30T09:41:02.053Z', 'reviewerName': 'Elena Baker', 'reviewerEmail': 'elena.baker@x.dummyjson.com'}, {'rating': 5, 'comment': 'Very satisfied!', 'date': '2025-04-30T09:41:02.053Z', 'reviewerName': 'Avery Scott', 'reviewerEmail': 'avery.scott@x.dummyjson.com'}, {'rating': 2, 'comment': 'Would not buy again!', 'date': '2025-04-30T09:41:02.053Z', 'reviewerName': 'Mateo Perez', 'reviewerEmail': 'mateo.perez@x.dummyjson.com'}]</t>
  </si>
  <si>
    <t>Glass</t>
  </si>
  <si>
    <t>The Glass is a versatile and elegant drinking vessel suitable for a variety of beverages. Its clear design allows you to enjoy the colors and textures of your drinks.</t>
  </si>
  <si>
    <t>['drinkware', 'glasses']</t>
  </si>
  <si>
    <t>[{'rating': 5, 'comment': 'Very happy with my purchase!', 'date': '2025-04-30T09:41:02.053Z', 'reviewerName': 'Jackson Evans', 'reviewerEmail': 'jackson.evans@x.dummyjson.com'}, {'rating': 3, 'comment': 'Waste of money!', 'date': '2025-04-30T09:41:02.053Z', 'reviewerName': 'Nicholas Bailey', 'reviewerEmail': 'nicholas.bailey@x.dummyjson.com'}, {'rating': 5, 'comment': 'Very satisfied!', 'date': '2025-04-30T09:41:02.053Z', 'reviewerName': 'Nathan Reed', 'reviewerEmail': 'nathan.reed@x.dummyjson.com'}]</t>
  </si>
  <si>
    <t>Grater Black</t>
  </si>
  <si>
    <t>The Grater in Black is a handy kitchen tool for grating cheese, vegetables, and more. Its sleek design and sharp blades make food preparation efficient and easy.</t>
  </si>
  <si>
    <t>['kitchen tools', 'graters']</t>
  </si>
  <si>
    <t>[{'rating': 1, 'comment': 'Would not buy again!', 'date': '2025-04-30T09:41:02.053Z', 'reviewerName': 'Ella Adams', 'reviewerEmail': 'ella.adams@x.dummyjson.com'}, {'rating': 1, 'comment': 'Not as described!', 'date': '2025-04-30T09:41:02.053Z', 'reviewerName': 'Eli Ward', 'reviewerEmail': 'eli.ward@x.dummyjson.com'}, {'rating': 5, 'comment': 'Highly impressed!', 'date': '2025-04-30T09:41:02.053Z', 'reviewerName': 'James Garcia', 'reviewerEmail': 'james.garcia@x.dummyjson.com'}]</t>
  </si>
  <si>
    <t>Hand Blender</t>
  </si>
  <si>
    <t>The Hand Blender is a versatile kitchen appliance for blending, pureeing, and mixing. Its compact design and powerful motor make it a convenient tool for various recipes.</t>
  </si>
  <si>
    <t>[{'rating': 5, 'comment': 'Excellent quality!', 'date': '2025-04-30T09:41:02.053Z', 'reviewerName': 'Hazel Evans', 'reviewerEmail': 'hazel.evans@x.dummyjson.com'}, {'rating': 4, 'comment': 'Highly impressed!', 'date': '2025-04-30T09:41:02.053Z', 'reviewerName': 'Hannah Howard', 'reviewerEmail': 'hannah.howard@x.dummyjson.com'}, {'rating': 1, 'comment': 'Would not buy again!', 'date': '2025-04-30T09:41:02.053Z', 'reviewerName': 'Jonathan Pierce', 'reviewerEmail': 'jonathan.pierce@x.dummyjson.com'}]</t>
  </si>
  <si>
    <t>Ice Cube Tray</t>
  </si>
  <si>
    <t>The Ice Cube Tray is a practical accessory for making ice cubes in various shapes. Perfect for keeping your drinks cool and adding a fun element to your beverages.</t>
  </si>
  <si>
    <t>['kitchen tools', 'ice cube trays']</t>
  </si>
  <si>
    <t>[{'rating': 5, 'comment': 'Awesome product!', 'date': '2025-04-30T09:41:02.053Z', 'reviewerName': 'Isaac Lawrence', 'reviewerEmail': 'isaac.lawrence@x.dummyjson.com'}, {'rating': 5, 'comment': 'Would buy again!', 'date': '2025-04-30T09:41:02.053Z', 'reviewerName': 'Leo Rivera', 'reviewerEmail': 'leo.rivera@x.dummyjson.com'}, {'rating': 5, 'comment': 'Very pleased!', 'date': '2025-04-30T09:41:02.053Z', 'reviewerName': 'Henry Turner', 'reviewerEmail': 'henry.turner@x.dummyjson.com'}]</t>
  </si>
  <si>
    <t>Kitchen Sieve</t>
  </si>
  <si>
    <t>The Kitchen Sieve is a versatile tool for sifting and straining dry and wet ingredients. Its fine mesh design ensures smooth results in your cooking and baking.</t>
  </si>
  <si>
    <t>[{'rating': 5, 'comment': 'Highly recommended!', 'date': '2025-04-30T09:41:02.053Z', 'reviewerName': 'Stella Morris', 'reviewerEmail': 'stella.morris@x.dummyjson.com'}, {'rating': 5, 'comment': 'Very happy with my purchase!', 'date': '2025-04-30T09:41:02.053Z', 'reviewerName': 'Henry Adams', 'reviewerEmail': 'henry.adams@x.dummyjson.com'}, {'rating': 4, 'comment': 'Awesome product!', 'date': '2025-04-30T09:41:02.053Z', 'reviewerName': 'Lillian Simmons', 'reviewerEmail': 'lillian.simmons@x.dummyjson.com'}]</t>
  </si>
  <si>
    <t>Knife</t>
  </si>
  <si>
    <t>The Knife is an essential kitchen tool for chopping, slicing, and dicing. Its sharp blade and ergonomic handle make it a reliable choice for food preparation.</t>
  </si>
  <si>
    <t>['kitchen tools', 'cutlery']</t>
  </si>
  <si>
    <t>[{'rating': 2, 'comment': 'Very disappointed!', 'date': '2025-04-30T09:41:02.053Z', 'reviewerName': 'Aaliyah Martinez', 'reviewerEmail': 'aaliyah.martinez@x.dummyjson.com'}, {'rating': 5, 'comment': 'Fast shipping!', 'date': '2025-04-30T09:41:02.053Z', 'reviewerName': 'Addison Wright', 'reviewerEmail': 'addison.wright@x.dummyjson.com'}, {'rating': 5, 'comment': 'Very pleased!', 'date': '2025-04-30T09:41:02.053Z', 'reviewerName': 'Mateo Nguyen', 'reviewerEmail': 'mateo.nguyen@x.dummyjson.com'}]</t>
  </si>
  <si>
    <t>Lunch Box</t>
  </si>
  <si>
    <t>The Lunch Box is a convenient and portable container for packing and carrying your meals. With compartments for different foods, it's perfect for on-the-go dining.</t>
  </si>
  <si>
    <t>['kitchen tools', 'storage']</t>
  </si>
  <si>
    <t>[{'rating': 5, 'comment': 'Very pleased!', 'date': '2025-04-30T09:41:02.053Z', 'reviewerName': 'Jace Smith', 'reviewerEmail': 'jace.smith@x.dummyjson.com'}, {'rating': 5, 'comment': 'Very happy with my purchase!', 'date': '2025-04-30T09:41:02.053Z', 'reviewerName': 'Zoe Bennett', 'reviewerEmail': 'zoe.bennett@x.dummyjson.com'}, {'rating': 2, 'comment': 'Poor quality!', 'date': '2025-04-30T09:41:02.053Z', 'reviewerName': 'Michael Johnson', 'reviewerEmail': 'michael.johnson@x.dummyjson.com'}]</t>
  </si>
  <si>
    <t>Microwave Oven</t>
  </si>
  <si>
    <t>The Microwave Oven is a versatile kitchen appliance for quick and efficient cooking, reheating, and defrosting. Its compact size makes it suitable for various kitchen setups.</t>
  </si>
  <si>
    <t>['kitchen appliances', 'microwaves']</t>
  </si>
  <si>
    <t>[{'rating': 3, 'comment': 'Very dissatisfied!', 'date': '2025-04-30T09:41:02.053Z', 'reviewerName': 'Nora Russell', 'reviewerEmail': 'nora.russell@x.dummyjson.com'}, {'rating': 4, 'comment': 'Fast shipping!', 'date': '2025-04-30T09:41:02.053Z', 'reviewerName': 'Alice Smith', 'reviewerEmail': 'alice.smith@x.dummyjson.com'}, {'rating': 2, 'comment': 'Very disappointed!', 'date': '2025-04-30T09:41:02.053Z', 'reviewerName': 'Ethan Fletcher', 'reviewerEmail': 'ethan.fletcher@x.dummyjson.com'}]</t>
  </si>
  <si>
    <t>Mug Tree Stand</t>
  </si>
  <si>
    <t>The Mug Tree Stand is a stylish and space-saving solution for organizing your mugs. Keep your favorite mugs easily accessible and neatly displayed in your kitchen.</t>
  </si>
  <si>
    <t>['kitchen tools', 'organization']</t>
  </si>
  <si>
    <t>[{'rating': 1, 'comment': 'Very unhappy with my purchase!', 'date': '2025-04-30T09:41:02.053Z', 'reviewerName': 'Bella Grant', 'reviewerEmail': 'bella.grant@x.dummyjson.com'}, {'rating': 5, 'comment': 'Highly recommended!', 'date': '2025-04-30T09:41:02.053Z', 'reviewerName': 'Paisley Bell', 'reviewerEmail': 'paisley.bell@x.dummyjson.com'}, {'rating': 4, 'comment': 'Fast shipping!', 'date': '2025-04-30T09:41:02.053Z', 'reviewerName': 'David Martinez', 'reviewerEmail': 'david.martinez@x.dummyjson.com'}]</t>
  </si>
  <si>
    <t>Pan</t>
  </si>
  <si>
    <t>The Pan is a versatile and essential cookware item for frying, sautéing, and cooking various dishes. Its non-stick coating ensures easy food release and cleanup.</t>
  </si>
  <si>
    <t>['cookware', 'pans']</t>
  </si>
  <si>
    <t>[{'rating': 5, 'comment': 'Highly impressed!', 'date': '2025-04-30T09:41:02.053Z', 'reviewerName': 'Michael Johnson', 'reviewerEmail': 'michael.johnson@x.dummyjson.com'}, {'rating': 4, 'comment': 'Highly recommended!', 'date': '2025-04-30T09:41:02.053Z', 'reviewerName': 'Adrian Flores', 'reviewerEmail': 'adrian.flores@x.dummyjson.com'}, {'rating': 1, 'comment': 'Not as described!', 'date': '2025-04-30T09:41:02.053Z', 'reviewerName': 'Nicholas Bailey', 'reviewerEmail': 'nicholas.bailey@x.dummyjson.com'}]</t>
  </si>
  <si>
    <t>Plate</t>
  </si>
  <si>
    <t>The Plate is a classic and essential dishware item for serving meals. Its durable and stylish design makes it suitable for everyday use or special occasions.</t>
  </si>
  <si>
    <t>['dinnerware', 'plates']</t>
  </si>
  <si>
    <t>[{'rating': 3, 'comment': 'Disappointing product!', 'date': '2025-04-30T09:41:02.053Z', 'reviewerName': 'Mia Miller', 'reviewerEmail': 'mia.miller@x.dummyjson.com'}, {'rating': 4, 'comment': 'Great product!', 'date': '2025-04-30T09:41:02.053Z', 'reviewerName': 'Henry Adams', 'reviewerEmail': 'henry.adams@x.dummyjson.com'}, {'rating': 4, 'comment': 'Excellent quality!', 'date': '2025-04-30T09:41:02.053Z', 'reviewerName': 'Nora Russell', 'reviewerEmail': 'nora.russell@x.dummyjson.com'}]</t>
  </si>
  <si>
    <t>Red Tongs</t>
  </si>
  <si>
    <t>The Red Tongs are versatile kitchen tongs suitable for various cooking and serving tasks. Their vibrant color adds a pop of excitement to your kitchen utensils.</t>
  </si>
  <si>
    <t>['kitchen tools', 'tongs']</t>
  </si>
  <si>
    <t>[{'rating': 4, 'comment': 'Very satisfied!', 'date': '2025-04-30T09:41:02.053Z', 'reviewerName': 'Xavier Wright', 'reviewerEmail': 'xavier.wright@x.dummyjson.com'}, {'rating': 5, 'comment': 'Highly recommended!', 'date': '2025-04-30T09:41:02.053Z', 'reviewerName': 'Stella Hughes', 'reviewerEmail': 'stella.hughes@x.dummyjson.com'}, {'rating': 4, 'comment': 'Excellent quality!', 'date': '2025-04-30T09:41:02.053Z', 'reviewerName': 'Jaxon Barnes', 'reviewerEmail': 'jaxon.barnes@x.dummyjson.com'}]</t>
  </si>
  <si>
    <t>Silver Pot With Glass Cap</t>
  </si>
  <si>
    <t>The Silver Pot with Glass Cap is a stylish and functional cookware item for boiling, simmering, and preparing delicious meals. Its glass cap allows you to monitor cooking progress.</t>
  </si>
  <si>
    <t>['cookware', 'pots']</t>
  </si>
  <si>
    <t>[{'rating': 4, 'comment': 'Great product!', 'date': '2025-04-30T09:41:02.053Z', 'reviewerName': 'Julian Newton', 'reviewerEmail': 'julian.newton@x.dummyjson.com'}, {'rating': 4, 'comment': 'Excellent quality!', 'date': '2025-04-30T09:41:02.053Z', 'reviewerName': 'Noah Lewis', 'reviewerEmail': 'noah.lewis@x.dummyjson.com'}, {'rating': 1, 'comment': 'Disappointing product!', 'date': '2025-04-30T09:41:02.053Z', 'reviewerName': 'Brayden Hill', 'reviewerEmail': 'brayden.hill@x.dummyjson.com'}]</t>
  </si>
  <si>
    <t>Slotted Turner</t>
  </si>
  <si>
    <t>The Slotted Turner is a kitchen utensil designed for flipping and turning food items. Its slotted design allows excess liquid to drain, making it ideal for frying and sautéing.</t>
  </si>
  <si>
    <t>['kitchen tools', 'turners']</t>
  </si>
  <si>
    <t>[{'rating': 1, 'comment': 'Would not recommend!', 'date': '2025-04-30T09:41:02.053Z', 'reviewerName': 'Ava Taylor', 'reviewerEmail': 'ava.taylor@x.dummyjson.com'}, {'rating': 2, 'comment': 'Would not recommend!', 'date': '2025-04-30T09:41:02.053Z', 'reviewerName': 'Liam Smith', 'reviewerEmail': 'liam.smith@x.dummyjson.com'}, {'rating': 5, 'comment': 'Very satisfied!', 'date': '2025-04-30T09:41:02.053Z', 'reviewerName': 'Gabriel Mitchell', 'reviewerEmail': 'gabriel.mitchell@x.dummyjson.com'}]</t>
  </si>
  <si>
    <t>Spice Rack</t>
  </si>
  <si>
    <t>The Spice Rack is a convenient organizer for your spices and seasonings. Keep your kitchen essentials within reach and neatly arranged with this stylish spice rack.</t>
  </si>
  <si>
    <t>[{'rating': 5, 'comment': 'Very satisfied!', 'date': '2025-04-30T09:41:02.053Z', 'reviewerName': 'Elena Baker', 'reviewerEmail': 'elena.baker@x.dummyjson.com'}, {'rating': 4, 'comment': 'Excellent quality!', 'date': '2025-04-30T09:41:02.053Z', 'reviewerName': 'Owen Fisher', 'reviewerEmail': 'owen.fisher@x.dummyjson.com'}, {'rating': 2, 'comment': 'Waste of money!', 'date': '2025-04-30T09:41:02.053Z', 'reviewerName': 'Sadie Morales', 'reviewerEmail': 'sadie.morales@x.dummyjson.com'}]</t>
  </si>
  <si>
    <t>Spoon</t>
  </si>
  <si>
    <t>The Spoon is a versatile kitchen utensil for stirring, serving, and tasting. Its ergonomic design and durable construction make it an essential tool for every kitchen.</t>
  </si>
  <si>
    <t>[{'rating': 3, 'comment': 'Waste of money!', 'date': '2025-04-30T09:41:02.053Z', 'reviewerName': 'Jackson Evans', 'reviewerEmail': 'jackson.evans@x.dummyjson.com'}, {'rating': 1, 'comment': 'Disappointing product!', 'date': '2025-04-30T09:41:02.053Z', 'reviewerName': 'Elena Baker', 'reviewerEmail': 'elena.baker@x.dummyjson.com'}, {'rating': 4, 'comment': 'Awesome product!', 'date': '2025-04-30T09:41:02.053Z', 'reviewerName': 'Bella Gonzalez', 'reviewerEmail': 'bella.gonzalez@x.dummyjson.com'}]</t>
  </si>
  <si>
    <t>Tray</t>
  </si>
  <si>
    <t>The Tray is a functional and decorative item for serving snacks, appetizers, or drinks. Its stylish design makes it a versatile accessory for entertaining guests.</t>
  </si>
  <si>
    <t>['serveware', 'trays']</t>
  </si>
  <si>
    <t>[{'rating': 5, 'comment': 'Fast shipping!', 'date': '2025-04-30T09:41:02.053Z', 'reviewerName': 'Samantha Howard', 'reviewerEmail': 'samantha.howard@x.dummyjson.com'}, {'rating': 3, 'comment': 'Very disappointed!', 'date': '2025-04-30T09:41:02.053Z', 'reviewerName': 'Benjamin Wilson', 'reviewerEmail': 'benjamin.wilson@x.dummyjson.com'}, {'rating': 4, 'comment': 'Excellent quality!', 'date': '2025-04-30T09:41:02.053Z', 'reviewerName': 'Caleb Nelson', 'reviewerEmail': 'caleb.nelson@x.dummyjson.com'}]</t>
  </si>
  <si>
    <t>Wooden Rolling Pin</t>
  </si>
  <si>
    <t>The Wooden Rolling Pin is a classic kitchen tool for rolling out dough for baking. Its smooth surface and sturdy handles make it easy to achieve uniform thickness.</t>
  </si>
  <si>
    <t>['kitchen tools', 'baking']</t>
  </si>
  <si>
    <t>[{'rating': 2, 'comment': 'Would not recommend!', 'date': '2025-04-30T09:41:02.053Z', 'reviewerName': 'Aurora Lawson', 'reviewerEmail': 'aurora.lawson@x.dummyjson.com'}, {'rating': 3, 'comment': 'Very disappointed!', 'date': '2025-04-30T09:41:02.053Z', 'reviewerName': 'Ava Taylor', 'reviewerEmail': 'ava.taylor@x.dummyjson.com'}, {'rating': 5, 'comment': 'Great product!', 'date': '2025-04-30T09:41:02.053Z', 'reviewerName': 'Mila Hernandez', 'reviewerEmail': 'mila.hernandez@x.dummyjson.com'}]</t>
  </si>
  <si>
    <t>Yellow Peeler</t>
  </si>
  <si>
    <t>The Yellow Peeler is a handy tool for peeling fruits and vegetables with ease. Its bright yellow color adds a cheerful touch to your kitchen gadgets.</t>
  </si>
  <si>
    <t>['kitchen tools', 'peelers']</t>
  </si>
  <si>
    <t>[{'rating': 1, 'comment': 'Very unhappy with my purchase!', 'date': '2025-04-30T09:41:02.053Z', 'reviewerName': 'Claire Foster', 'reviewerEmail': 'claire.foster@x.dummyjson.com'}, {'rating': 5, 'comment': 'Very happy with my purchase!', 'date': '2025-04-30T09:41:02.053Z', 'reviewerName': 'Aaliyah Hanson', 'reviewerEmail': 'aaliyah.hanson@x.dummyjson.com'}, {'rating': 4, 'comment': 'Great product!', 'date': '2025-04-30T09:41:02.053Z', 'reviewerName': 'Olivia Wilson', 'reviewerEmail': 'olivia.wilson@x.dummyjson.com'}]</t>
  </si>
  <si>
    <t>Apple MacBook Pro 14 Inch Space Grey</t>
  </si>
  <si>
    <t>The MacBook Pro 14 Inch in Space Grey is a powerful and sleek laptop, featuring Apple's M1 Pro chip for exceptional performance and a stunning Retina display.</t>
  </si>
  <si>
    <t>laptops</t>
  </si>
  <si>
    <t>['laptops', 'apple']</t>
  </si>
  <si>
    <t>[{'rating': 5, 'comment': 'Very happy with my purchase!', 'date': '2025-04-30T09:41:02.053Z', 'reviewerName': 'Hazel Evans', 'reviewerEmail': 'hazel.evans@x.dummyjson.com'}, {'rating': 5, 'comment': 'Very happy with my purchase!', 'date': '2025-04-30T09:41:02.053Z', 'reviewerName': 'Christopher West', 'reviewerEmail': 'christopher.west@x.dummyjson.com'}, {'rating': 4, 'comment': 'Very satisfied!', 'date': '2025-04-30T09:41:02.053Z', 'reviewerName': 'Aubrey Garcia', 'reviewerEmail': 'aubrey.garcia@x.dummyjson.com'}]</t>
  </si>
  <si>
    <t>Asus Zenbook Pro Dual Screen Laptop</t>
  </si>
  <si>
    <t>The Asus Zenbook Pro Dual Screen Laptop is a high-performance device with dual screens, providing productivity and versatility for creative professionals.</t>
  </si>
  <si>
    <t>['laptops']</t>
  </si>
  <si>
    <t>Asus</t>
  </si>
  <si>
    <t>[{'rating': 4, 'comment': 'Very happy with my purchase!', 'date': '2025-04-30T09:41:02.053Z', 'reviewerName': 'Michael Johnson', 'reviewerEmail': 'michael.johnson@x.dummyjson.com'}, {'rating': 5, 'comment': 'Highly recommended!', 'date': '2025-04-30T09:41:02.053Z', 'reviewerName': 'Zoe Bennett', 'reviewerEmail': 'zoe.bennett@x.dummyjson.com'}, {'rating': 4, 'comment': 'Very satisfied!', 'date': '2025-04-30T09:41:02.053Z', 'reviewerName': 'Mila Hernandez', 'reviewerEmail': 'mila.hernandez@x.dummyjson.com'}]</t>
  </si>
  <si>
    <t>Huawei Matebook X Pro</t>
  </si>
  <si>
    <t>The Huawei Matebook X Pro is a slim and stylish laptop with a high-resolution touchscreen display, offering a premium experience for users on the go.</t>
  </si>
  <si>
    <t>Huawei</t>
  </si>
  <si>
    <t>[{'rating': 4, 'comment': 'Very satisfied!', 'date': '2025-04-30T09:41:02.053Z', 'reviewerName': 'Evan Wright', 'reviewerEmail': 'evan.wright@x.dummyjson.com'}, {'rating': 4, 'comment': 'Very happy with my purchase!', 'date': '2025-04-30T09:41:02.053Z', 'reviewerName': 'Hunter Gordon', 'reviewerEmail': 'hunter.gordon@x.dummyjson.com'}, {'rating': 1, 'comment': 'Not worth the price!', 'date': '2025-04-30T09:41:02.053Z', 'reviewerName': 'William Gonzalez', 'reviewerEmail': 'william.gonzalez@x.dummyjson.com'}]</t>
  </si>
  <si>
    <t>Lenovo Yoga 920</t>
  </si>
  <si>
    <t>The Lenovo Yoga 920 is a 2-in-1 convertible laptop with a flexible hinge, allowing you to use it as a laptop or tablet, offering versatility and portability.</t>
  </si>
  <si>
    <t>Lenovo</t>
  </si>
  <si>
    <t>[{'rating': 4, 'comment': 'Would buy again!', 'date': '2025-04-30T09:41:02.053Z', 'reviewerName': 'Bella Gonzalez', 'reviewerEmail': 'bella.gonzalez@x.dummyjson.com'}, {'rating': 5, 'comment': 'Great value for money!', 'date': '2025-04-30T09:41:02.053Z', 'reviewerName': 'Nathan Reed', 'reviewerEmail': 'nathan.reed@x.dummyjson.com'}, {'rating': 4, 'comment': 'Great value for money!', 'date': '2025-04-30T09:41:02.053Z', 'reviewerName': 'Hazel Gardner', 'reviewerEmail': 'hazel.gardner@x.dummyjson.com'}]</t>
  </si>
  <si>
    <t>New DELL XPS 13 9300 Laptop</t>
  </si>
  <si>
    <t>The New DELL XPS 13 9300 Laptop is a compact and powerful device, featuring a virtually borderless InfinityEdge display and high-end performance for various tasks.</t>
  </si>
  <si>
    <t>Dell</t>
  </si>
  <si>
    <t>[{'rating': 3, 'comment': 'Poor quality!', 'date': '2025-04-30T09:41:02.053Z', 'reviewerName': 'Charlotte Lopez', 'reviewerEmail': 'charlotte.lopez@x.dummyjson.com'}, {'rating': 4, 'comment': 'Very satisfied!', 'date': '2025-04-30T09:41:02.053Z', 'reviewerName': 'Alice Smith', 'reviewerEmail': 'alice.smith@x.dummyjson.com'}, {'rating': 2, 'comment': 'Disappointing product!', 'date': '2025-04-30T09:41:02.053Z', 'reviewerName': 'Ava Taylor', 'reviewerEmail': 'ava.taylor@x.dummyjson.com'}]</t>
  </si>
  <si>
    <t>Blue &amp; Black Check Shirt</t>
  </si>
  <si>
    <t>The Blue &amp; Black Check Shirt is a stylish and comfortable men's shirt featuring a classic check pattern. Made from high-quality fabric, it's suitable for both casual and semi-formal occasions.</t>
  </si>
  <si>
    <t>mens-shirts</t>
  </si>
  <si>
    <t>['clothing', "men's shirts"]</t>
  </si>
  <si>
    <t>Fashion Trends</t>
  </si>
  <si>
    <t>[{'rating': 1, 'comment': 'Waste of money!', 'date': '2025-04-30T09:41:02.053Z', 'reviewerName': 'Logan Lee', 'reviewerEmail': 'logan.lee@x.dummyjson.com'}, {'rating': 5, 'comment': 'Very satisfied!', 'date': '2025-04-30T09:41:02.053Z', 'reviewerName': 'Zachary Lee', 'reviewerEmail': 'zachary.lee@x.dummyjson.com'}, {'rating': 4, 'comment': 'Fast shipping!', 'date': '2025-04-30T09:41:02.053Z', 'reviewerName': 'Aurora Rodriguez', 'reviewerEmail': 'aurora.rodriguez@x.dummyjson.com'}]</t>
  </si>
  <si>
    <t>Gigabyte Aorus Men Tshirt</t>
  </si>
  <si>
    <t>The Gigabyte Aorus Men Tshirt is a cool and casual shirt for gaming enthusiasts. With the Aorus logo and sleek design, it's perfect for expressing your gaming style.</t>
  </si>
  <si>
    <t>['clothing', "men's t-shirts"]</t>
  </si>
  <si>
    <t>Gigabyte</t>
  </si>
  <si>
    <t>[{'rating': 5, 'comment': 'Excellent quality!', 'date': '2025-04-30T09:41:02.053Z', 'reviewerName': 'Amelia Perez', 'reviewerEmail': 'amelia.perez@x.dummyjson.com'}, {'rating': 5, 'comment': 'Awesome product!', 'date': '2025-04-30T09:41:02.053Z', 'reviewerName': 'Tyler Davis', 'reviewerEmail': 'tyler.davis@x.dummyjson.com'}, {'rating': 1, 'comment': 'Disappointing product!', 'date': '2025-04-30T09:41:02.053Z', 'reviewerName': 'Harper King', 'reviewerEmail': 'harper.king@x.dummyjson.com'}]</t>
  </si>
  <si>
    <t>Man Plaid Shirt</t>
  </si>
  <si>
    <t>The Man Plaid Shirt is a timeless and versatile men's shirt with a classic plaid pattern. Its comfortable fit and casual style make it a wardrobe essential for various occasions.</t>
  </si>
  <si>
    <t>Classic Wear</t>
  </si>
  <si>
    <t>[{'rating': 3, 'comment': 'Disappointing product!', 'date': '2025-04-30T09:41:02.053Z', 'reviewerName': 'Aubrey Wagner', 'reviewerEmail': 'aubrey.wagner@x.dummyjson.com'}, {'rating': 4, 'comment': 'Awesome product!', 'date': '2025-04-30T09:41:02.053Z', 'reviewerName': 'Evan Reed', 'reviewerEmail': 'evan.reed@x.dummyjson.com'}, {'rating': 2, 'comment': 'Very disappointed!', 'date': '2025-04-30T09:41:02.053Z', 'reviewerName': 'Evelyn Gonzalez', 'reviewerEmail': 'evelyn.gonzalez@x.dummyjson.com'}]</t>
  </si>
  <si>
    <t>Man Short Sleeve Shirt</t>
  </si>
  <si>
    <t>The Man Short Sleeve Shirt is a breezy and stylish option for warm days. With a comfortable fit and short sleeves, it's perfect for a laid-back yet polished look.</t>
  </si>
  <si>
    <t>Casual Comfort</t>
  </si>
  <si>
    <t>[{'rating': 5, 'comment': 'Highly recommended!', 'date': '2025-04-30T09:41:02.053Z', 'reviewerName': 'Charlotte Lopez', 'reviewerEmail': 'charlotte.lopez@x.dummyjson.com'}, {'rating': 2, 'comment': 'Poor quality!', 'date': '2025-04-30T09:41:02.053Z', 'reviewerName': 'Ellie Stewart', 'reviewerEmail': 'ellie.stewart@x.dummyjson.com'}, {'rating': 1, 'comment': 'Would not recommend!', 'date': '2025-04-30T09:41:02.053Z', 'reviewerName': 'Sadie Morales', 'reviewerEmail': 'sadie.morales@x.dummyjson.com'}]</t>
  </si>
  <si>
    <t>Men Check Shirt</t>
  </si>
  <si>
    <t>The Men Check Shirt is a classic and versatile shirt featuring a stylish check pattern. Suitable for various occasions, it adds a smart and polished touch to your wardrobe.</t>
  </si>
  <si>
    <t>Urban Chic</t>
  </si>
  <si>
    <t>[{'rating': 3, 'comment': 'Would not recommend!', 'date': '2025-04-30T09:41:02.053Z', 'reviewerName': 'Mateo Nguyen', 'reviewerEmail': 'mateo.nguyen@x.dummyjson.com'}, {'rating': 5, 'comment': 'Fast shipping!', 'date': '2025-04-30T09:41:02.053Z', 'reviewerName': 'Lucas Allen', 'reviewerEmail': 'lucas.allen@x.dummyjson.com'}, {'rating': 2, 'comment': 'Very unhappy with my purchase!', 'date': '2025-04-30T09:41:02.053Z', 'reviewerName': 'Henry Adams', 'reviewerEmail': 'henry.adams@x.dummyjson.com'}]</t>
  </si>
  <si>
    <t>Nike Air Jordan 1 Red And Black</t>
  </si>
  <si>
    <t>The Nike Air Jordan 1 in Red and Black is an iconic basketball sneaker known for its stylish design and high-performance features, making it a favorite among sneaker enthusiasts and athletes.</t>
  </si>
  <si>
    <t>mens-shoes</t>
  </si>
  <si>
    <t>['footwear', 'athletic shoes']</t>
  </si>
  <si>
    <t>Nike</t>
  </si>
  <si>
    <t>[{'rating': 5, 'comment': 'Highly impressed!', 'date': '2025-04-30T09:41:02.053Z', 'reviewerName': 'Elena Long', 'reviewerEmail': 'elena.long@x.dummyjson.com'}, {'rating': 4, 'comment': 'Very happy with my purchase!', 'date': '2025-04-30T09:41:02.053Z', 'reviewerName': 'Addison Wright', 'reviewerEmail': 'addison.wright@x.dummyjson.com'}, {'rating': 1, 'comment': 'Waste of money!', 'date': '2025-04-30T09:41:02.053Z', 'reviewerName': 'Mason Wright', 'reviewerEmail': 'mason.wright@x.dummyjson.com'}]</t>
  </si>
  <si>
    <t>Nike Baseball Cleats</t>
  </si>
  <si>
    <t>Nike Baseball Cleats are designed for maximum traction and performance on the baseball field. They provide stability and support for players during games and practices.</t>
  </si>
  <si>
    <t>['footwear', 'sports cleats']</t>
  </si>
  <si>
    <t>[{'rating': 5, 'comment': 'Would buy again!', 'date': '2025-04-30T09:41:02.053Z', 'reviewerName': 'Aaron Cook', 'reviewerEmail': 'aaron.cook@x.dummyjson.com'}, {'rating': 2, 'comment': 'Very disappointed!', 'date': '2025-04-30T09:41:02.053Z', 'reviewerName': 'Noah Lewis', 'reviewerEmail': 'noah.lewis@x.dummyjson.com'}, {'rating': 3, 'comment': 'Would not recommend!', 'date': '2025-04-30T09:41:02.053Z', 'reviewerName': 'Michael Johnson', 'reviewerEmail': 'michael.johnson@x.dummyjson.com'}]</t>
  </si>
  <si>
    <t>Puma Future Rider Trainers</t>
  </si>
  <si>
    <t>The Puma Future Rider Trainers offer a blend of retro style and modern comfort. Perfect for casual wear, these trainers provide a fashionable and comfortable option for everyday use.</t>
  </si>
  <si>
    <t>['footwear', 'casual shoes']</t>
  </si>
  <si>
    <t>Puma</t>
  </si>
  <si>
    <t>[{'rating': 5, 'comment': 'Highly impressed!', 'date': '2025-04-30T09:41:02.053Z', 'reviewerName': 'Jackson Morales', 'reviewerEmail': 'jackson.morales@x.dummyjson.com'}, {'rating': 1, 'comment': 'Very disappointed!', 'date': '2025-04-30T09:41:02.053Z', 'reviewerName': 'Sophia Jones', 'reviewerEmail': 'sophia.jones@x.dummyjson.com'}, {'rating': 5, 'comment': 'Very pleased!', 'date': '2025-04-30T09:41:02.053Z', 'reviewerName': 'Logan Torres', 'reviewerEmail': 'logan.torres@x.dummyjson.com'}]</t>
  </si>
  <si>
    <t>Sports Sneakers Off White &amp; Red</t>
  </si>
  <si>
    <t>The Sports Sneakers in Off White and Red combine style and functionality, making them a fashionable choice for sports enthusiasts. The red and off-white color combination adds a bold and energetic touch.</t>
  </si>
  <si>
    <t>Off White</t>
  </si>
  <si>
    <t>[{'rating': 4, 'comment': 'Would buy again!', 'date': '2025-04-30T09:41:02.053Z', 'reviewerName': 'Sadie Morales', 'reviewerEmail': 'sadie.morales@x.dummyjson.com'}, {'rating': 5, 'comment': 'Fast shipping!', 'date': '2025-04-30T09:41:02.053Z', 'reviewerName': 'Julian Newton', 'reviewerEmail': 'julian.newton@x.dummyjson.com'}, {'rating': 5, 'comment': 'Awesome product!', 'date': '2025-04-30T09:41:02.053Z', 'reviewerName': 'Logan Lee', 'reviewerEmail': 'logan.lee@x.dummyjson.com'}]</t>
  </si>
  <si>
    <t>Sports Sneakers Off White Red</t>
  </si>
  <si>
    <t>Another variant of the Sports Sneakers in Off White Red, featuring a unique design. These sneakers offer style and comfort for casual occasions.</t>
  </si>
  <si>
    <t>[{'rating': 4, 'comment': 'Excellent quality!', 'date': '2025-04-30T09:41:02.053Z', 'reviewerName': 'Aurora Lawson', 'reviewerEmail': 'aurora.lawson@x.dummyjson.com'}, {'rating': 5, 'comment': 'Great value for money!', 'date': '2025-04-30T09:41:02.053Z', 'reviewerName': 'Gabriel Mitchell', 'reviewerEmail': 'gabriel.mitchell@x.dummyjson.com'}, {'rating': 1, 'comment': 'Not worth the price!', 'date': '2025-04-30T09:41:02.053Z', 'reviewerName': 'Eli Bennett', 'reviewerEmail': 'eli.bennett@x.dummyjson.com'}]</t>
  </si>
  <si>
    <t>Brown Leather Belt Watch</t>
  </si>
  <si>
    <t>The Brown Leather Belt Watch is a stylish timepiece with a classic design. Featuring a genuine leather strap and a sleek dial, it adds a touch of sophistication to your look.</t>
  </si>
  <si>
    <t>mens-watches</t>
  </si>
  <si>
    <t>['watches', 'leather watches']</t>
  </si>
  <si>
    <t>Fashion Timepieces</t>
  </si>
  <si>
    <t>[{'rating': 1, 'comment': 'Very unhappy with my purchase!', 'date': '2025-04-30T09:41:02.053Z', 'reviewerName': 'James Garcia', 'reviewerEmail': 'james.garcia@x.dummyjson.com'}, {'rating': 4, 'comment': 'Fast shipping!', 'date': '2025-04-30T09:41:02.053Z', 'reviewerName': 'Avery Barnes', 'reviewerEmail': 'avery.barnes@x.dummyjson.com'}, {'rating': 4, 'comment': 'Would buy again!', 'date': '2025-04-30T09:41:02.053Z', 'reviewerName': 'David Martinez', 'reviewerEmail': 'david.martinez@x.dummyjson.com'}]</t>
  </si>
  <si>
    <t>Longines Master Collection</t>
  </si>
  <si>
    <t>The Longines Master Collection is an elegant and refined watch known for its precision and craftsmanship. With a timeless design, it's a symbol of luxury and sophistication.</t>
  </si>
  <si>
    <t>['watches', 'luxury watches']</t>
  </si>
  <si>
    <t>Longines</t>
  </si>
  <si>
    <t>[{'rating': 4, 'comment': 'Highly impressed!', 'date': '2025-04-30T09:41:02.053Z', 'reviewerName': 'Eli Ward', 'reviewerEmail': 'eli.ward@x.dummyjson.com'}, {'rating': 3, 'comment': 'Very disappointed!', 'date': '2025-04-30T09:41:02.053Z', 'reviewerName': 'Owen Fisher', 'reviewerEmail': 'owen.fisher@x.dummyjson.com'}, {'rating': 5, 'comment': 'Great product!', 'date': '2025-04-30T09:41:02.053Z', 'reviewerName': 'Nathan Reed', 'reviewerEmail': 'nathan.reed@x.dummyjson.com'}]</t>
  </si>
  <si>
    <t>Rolex Cellini Date Black Dial</t>
  </si>
  <si>
    <t>The Rolex Cellini Date with Black Dial is a classic and prestigious watch. With a black dial and date complication, it exudes sophistication and is a symbol of Rolex's heritage.</t>
  </si>
  <si>
    <t>Rolex</t>
  </si>
  <si>
    <t>[{'rating': 3, 'comment': 'Not worth the price!', 'date': '2025-04-30T09:41:02.053Z', 'reviewerName': 'Owen Sullivan', 'reviewerEmail': 'owen.sullivan@x.dummyjson.com'}, {'rating': 4, 'comment': 'Very satisfied!', 'date': '2025-04-30T09:41:02.053Z', 'reviewerName': 'Jonathan Pierce', 'reviewerEmail': 'jonathan.pierce@x.dummyjson.com'}, {'rating': 1, 'comment': 'Would not buy again!', 'date': '2025-04-30T09:41:02.053Z', 'reviewerName': 'Adrian Flores', 'reviewerEmail': 'adrian.flores@x.dummyjson.com'}]</t>
  </si>
  <si>
    <t>Rolex Cellini Moonphase</t>
  </si>
  <si>
    <t>The Rolex Cellini Moonphase is a masterpiece of horology, featuring a moon phase complication and exquisite design. It reflects Rolex's commitment to precision and elegance.</t>
  </si>
  <si>
    <t>[{'rating': 3, 'comment': 'Poor quality!', 'date': '2025-04-30T09:41:02.053Z', 'reviewerName': 'Ella Adams', 'reviewerEmail': 'ella.adams@x.dummyjson.com'}, {'rating': 5, 'comment': 'Very satisfied!', 'date': '2025-04-30T09:41:02.053Z', 'reviewerName': 'Leo Rivera', 'reviewerEmail': 'leo.rivera@x.dummyjson.com'}, {'rating': 4, 'comment': 'Very pleased!', 'date': '2025-04-30T09:41:02.053Z', 'reviewerName': 'Emma Miller', 'reviewerEmail': 'emma.miller@x.dummyjson.com'}]</t>
  </si>
  <si>
    <t>Rolex Datejust</t>
  </si>
  <si>
    <t>The Rolex Datejust is an iconic and versatile timepiece with a date window. Known for its timeless design and reliability, it's a symbol of Rolex's watchmaking excellence.</t>
  </si>
  <si>
    <t>[{'rating': 4, 'comment': 'Fast shipping!', 'date': '2025-04-30T09:41:02.053Z', 'reviewerName': 'Alice Smith', 'reviewerEmail': 'alice.smith@x.dummyjson.com'}, {'rating': 4, 'comment': 'Very pleased!', 'date': '2025-04-30T09:41:02.053Z', 'reviewerName': 'Abigail Rivera', 'reviewerEmail': 'abigail.rivera@x.dummyjson.com'}, {'rating': 3, 'comment': 'Waste of money!', 'date': '2025-04-30T09:41:02.053Z', 'reviewerName': 'Daniel Cook', 'reviewerEmail': 'daniel.cook@x.dummyjson.com'}]</t>
  </si>
  <si>
    <t>Rolex Submariner Watch</t>
  </si>
  <si>
    <t>The Rolex Submariner is a legendary dive watch with a rich history. Known for its durability and water resistance, it's a symbol of adventure and exploration.</t>
  </si>
  <si>
    <t>[{'rating': 4, 'comment': 'Great value for money!', 'date': '2025-04-30T09:41:02.053Z', 'reviewerName': 'Luna Perez', 'reviewerEmail': 'luna.perez@x.dummyjson.com'}, {'rating': 5, 'comment': 'Highly recommended!', 'date': '2025-04-30T09:41:02.053Z', 'reviewerName': 'Hannah Robinson', 'reviewerEmail': 'hannah.robinson@x.dummyjson.com'}, {'rating': 5, 'comment': 'Fast shipping!', 'date': '2025-04-30T09:41:02.053Z', 'reviewerName': 'Aaliyah Hanson', 'reviewerEmail': 'aaliyah.hanson@x.dummyjson.com'}]</t>
  </si>
  <si>
    <t>Amazon Echo Plus</t>
  </si>
  <si>
    <t>The Amazon Echo Plus is a smart speaker with built-in Alexa voice control. It features premium sound quality and serves as a hub for controlling smart home devices.</t>
  </si>
  <si>
    <t>mobile-accessories</t>
  </si>
  <si>
    <t>['electronics', 'smart speakers']</t>
  </si>
  <si>
    <t>Amazon</t>
  </si>
  <si>
    <t>[{'rating': 2, 'comment': 'Would not recommend!', 'date': '2025-04-30T09:41:02.053Z', 'reviewerName': 'Chloe Morales', 'reviewerEmail': 'chloe.morales@x.dummyjson.com'}, {'rating': 3, 'comment': 'Very disappointed!', 'date': '2025-04-30T09:41:02.053Z', 'reviewerName': 'Mateo Perez', 'reviewerEmail': 'mateo.perez@x.dummyjson.com'}, {'rating': 4, 'comment': 'Fast shipping!', 'date': '2025-04-30T09:41:02.053Z', 'reviewerName': 'Evelyn Walker', 'reviewerEmail': 'evelyn.walker@x.dummyjson.com'}]</t>
  </si>
  <si>
    <t>Apple Airpods</t>
  </si>
  <si>
    <t>The Apple Airpods offer a seamless wireless audio experience. With easy pairing, high-quality sound, and Siri integration, they are perfect for on-the-go listening.</t>
  </si>
  <si>
    <t>['electronics', 'wireless earphones']</t>
  </si>
  <si>
    <t>[{'rating': 3, 'comment': 'Would not buy again!', 'date': '2025-04-30T09:41:02.053Z', 'reviewerName': 'Christopher West', 'reviewerEmail': 'christopher.west@x.dummyjson.com'}, {'rating': 5, 'comment': 'Great product!', 'date': '2025-04-30T09:41:02.053Z', 'reviewerName': 'Emma Wilson', 'reviewerEmail': 'emma.wilson@x.dummyjson.com'}, {'rating': 4, 'comment': 'Excellent quality!', 'date': '2025-04-30T09:41:02.053Z', 'reviewerName': 'Xavier Wright', 'reviewerEmail': 'xavier.wright@x.dummyjson.com'}]</t>
  </si>
  <si>
    <t>Category</t>
  </si>
  <si>
    <r>
      <rPr>
        <rFont val="Arial"/>
        <color theme="1"/>
      </rPr>
      <t xml:space="preserve">This report provides a comprehensive analysis of the product catalog, covering 100 items across various categories including kitchen accessories, groceries, luxury watches, and electronics.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• </t>
    </r>
    <r>
      <rPr>
        <rFont val="Arial"/>
        <b/>
        <color theme="1"/>
      </rPr>
      <t>Category Dominance and Price Variance:</t>
    </r>
    <r>
      <rPr>
        <rFont val="Arial"/>
        <color theme="1"/>
      </rPr>
      <t xml:space="preserve"> The catalog is heavily weighted towards everyday items, but the average price is significantly skewed by a small number of luxury goods.
  • </t>
    </r>
    <r>
      <rPr>
        <rFont val="Arial"/>
        <b/>
        <color theme="1"/>
      </rPr>
      <t>Kitchen Accessories</t>
    </r>
    <r>
      <rPr>
        <rFont val="Arial"/>
        <color theme="1"/>
      </rPr>
      <t xml:space="preserve"> and </t>
    </r>
    <r>
      <rPr>
        <rFont val="Arial"/>
        <b/>
        <color theme="1"/>
      </rPr>
      <t>Groceries</t>
    </r>
    <r>
      <rPr>
        <rFont val="Arial"/>
        <color theme="1"/>
      </rPr>
      <t xml:space="preserve"> are the most frequent categories, representing 30% and 27% of the total inventory, respectively.
  • The average product price is </t>
    </r>
    <r>
      <rPr>
        <rFont val="Arial"/>
        <b/>
        <color theme="1"/>
      </rPr>
      <t>$646.68</t>
    </r>
    <r>
      <rPr>
        <rFont val="Arial"/>
        <color theme="1"/>
      </rPr>
      <t xml:space="preserve">, but the median price is only </t>
    </r>
    <r>
      <rPr>
        <rFont val="Arial"/>
        <b/>
        <color theme="1"/>
      </rPr>
      <t>$14.99</t>
    </r>
    <r>
      <rPr>
        <rFont val="Arial"/>
        <color theme="1"/>
      </rPr>
      <t xml:space="preserve">. This discrepancy is driven by the </t>
    </r>
    <r>
      <rPr>
        <rFont val="Arial"/>
        <b/>
        <color theme="1"/>
      </rPr>
      <t>Mens-Watches</t>
    </r>
    <r>
      <rPr>
        <rFont val="Arial"/>
        <color theme="1"/>
      </rPr>
      <t xml:space="preserve"> category, which has an average price of over </t>
    </r>
    <r>
      <rPr>
        <rFont val="Arial"/>
        <b/>
        <color theme="1"/>
      </rPr>
      <t>$8,000</t>
    </r>
    <r>
      <rPr>
        <rFont val="Arial"/>
        <color theme="1"/>
      </rPr>
      <t xml:space="preserve"> due to several Rolex models.
  • </t>
    </r>
    <r>
      <rPr>
        <rFont val="Arial"/>
        <b/>
        <color theme="1"/>
      </rPr>
      <t>Laptops</t>
    </r>
    <r>
      <rPr>
        <rFont val="Arial"/>
        <color theme="1"/>
      </rPr>
      <t xml:space="preserve"> and </t>
    </r>
    <r>
      <rPr>
        <rFont val="Arial"/>
        <b/>
        <color theme="1"/>
      </rPr>
      <t>Furniture</t>
    </r>
    <r>
      <rPr>
        <rFont val="Arial"/>
        <color theme="1"/>
      </rPr>
      <t xml:space="preserve"> also represent higher-value segments with average prices of </t>
    </r>
    <r>
      <rPr>
        <rFont val="Arial"/>
        <b/>
        <color theme="1"/>
      </rPr>
      <t>$1,559.99</t>
    </r>
    <r>
      <rPr>
        <rFont val="Arial"/>
        <color theme="1"/>
      </rPr>
      <t xml:space="preserve"> and </t>
    </r>
    <r>
      <rPr>
        <rFont val="Arial"/>
        <b/>
        <color theme="1"/>
      </rPr>
      <t>$1,199.99</t>
    </r>
    <r>
      <rPr>
        <rFont val="Arial"/>
        <color theme="1"/>
      </rPr>
      <t xml:space="preserve">.
• </t>
    </r>
    <r>
      <rPr>
        <rFont val="Arial"/>
        <b/>
        <color theme="1"/>
      </rPr>
      <t>Customer Sentiment and Product Quality:</t>
    </r>
    <r>
      <rPr>
        <rFont val="Arial"/>
        <color theme="1"/>
      </rPr>
      <t xml:space="preserve"> Overall sentiment is largely positive or mixed, with very few negative assessments.
  • </t>
    </r>
    <r>
      <rPr>
        <rFont val="Arial"/>
        <b/>
        <color theme="1"/>
      </rPr>
      <t>95%</t>
    </r>
    <r>
      <rPr>
        <rFont val="Arial"/>
        <color theme="1"/>
      </rPr>
      <t xml:space="preserve"> of products have a </t>
    </r>
    <r>
      <rPr>
        <rFont val="Arial"/>
        <b/>
        <color theme="1"/>
      </rPr>
      <t>Positive</t>
    </r>
    <r>
      <rPr>
        <rFont val="Arial"/>
        <color theme="1"/>
      </rPr>
      <t xml:space="preserve"> (38 products) or </t>
    </r>
    <r>
      <rPr>
        <rFont val="Arial"/>
        <b/>
        <color theme="1"/>
      </rPr>
      <t>Mixed</t>
    </r>
    <r>
      <rPr>
        <rFont val="Arial"/>
        <color theme="1"/>
      </rPr>
      <t xml:space="preserve"> (57 products) sentiment analysis.
  • Only </t>
    </r>
    <r>
      <rPr>
        <rFont val="Arial"/>
        <b/>
        <color theme="1"/>
      </rPr>
      <t>5%</t>
    </r>
    <r>
      <rPr>
        <rFont val="Arial"/>
        <color theme="1"/>
      </rPr>
      <t xml:space="preserve"> of the catalog (5 products) received a </t>
    </r>
    <r>
      <rPr>
        <rFont val="Arial"/>
        <b/>
        <color theme="1"/>
      </rPr>
      <t>Negative</t>
    </r>
    <r>
      <rPr>
        <rFont val="Arial"/>
        <color theme="1"/>
      </rPr>
      <t xml:space="preserve"> sentiment rating.
  • The average product rating is </t>
    </r>
    <r>
      <rPr>
        <rFont val="Arial"/>
        <b/>
        <color theme="1"/>
      </rPr>
      <t>3.85 out of 5</t>
    </r>
    <r>
      <rPr>
        <rFont val="Arial"/>
        <color theme="1"/>
      </rPr>
      <t xml:space="preserve">, indicating a generally satisfied customer base across most categories.
• </t>
    </r>
    <r>
      <rPr>
        <rFont val="Arial"/>
        <b/>
        <color theme="1"/>
      </rPr>
      <t>Inventory and Logistics:</t>
    </r>
    <r>
      <rPr>
        <rFont val="Arial"/>
        <color theme="1"/>
      </rPr>
      <t xml:space="preserve"> Stock levels and order requirements vary significantly by product type.
  • The average stock level per product is </t>
    </r>
    <r>
      <rPr>
        <rFont val="Arial"/>
        <b/>
        <color theme="1"/>
      </rPr>
      <t>54 units</t>
    </r>
    <r>
      <rPr>
        <rFont val="Arial"/>
        <color theme="1"/>
      </rPr>
      <t xml:space="preserve">, providing a healthy buffer for most items.
  • Minimum order quantities range from 1 to 50, with an average of approximately </t>
    </r>
    <r>
      <rPr>
        <rFont val="Arial"/>
        <b/>
        <color theme="1"/>
      </rPr>
      <t>17 units</t>
    </r>
    <r>
      <rPr>
        <rFont val="Arial"/>
        <color theme="1"/>
      </rPr>
      <t xml:space="preserve"> per order.
</t>
    </r>
    <r>
      <rPr>
        <rFont val="Arial"/>
        <b/>
        <color theme="1"/>
        <sz val="20.0"/>
      </rPr>
      <t>Product Highlights</t>
    </r>
    <r>
      <rPr>
        <rFont val="Arial"/>
        <color theme="1"/>
      </rPr>
      <t xml:space="preserve">
</t>
    </r>
    <r>
      <rPr>
        <rFont val="Arial"/>
        <b/>
        <color theme="1"/>
        <sz val="16.0"/>
      </rPr>
      <t>Top 5 Most Expensive Products</t>
    </r>
    <r>
      <rPr>
        <rFont val="Arial"/>
        <color theme="1"/>
      </rPr>
      <t xml:space="preserve">
These luxury items represent the highest price points in the table:
1. </t>
    </r>
    <r>
      <rPr>
        <rFont val="Arial"/>
        <b/>
        <color theme="1"/>
      </rPr>
      <t>Rolex Submariner Watch</t>
    </r>
    <r>
      <rPr>
        <rFont val="Arial"/>
        <color theme="1"/>
      </rPr>
      <t xml:space="preserve"> (Mens-Watches): $13,999.99
2. </t>
    </r>
    <r>
      <rPr>
        <rFont val="Arial"/>
        <b/>
        <color theme="1"/>
      </rPr>
      <t>Rolex Cellini Moonphase</t>
    </r>
    <r>
      <rPr>
        <rFont val="Arial"/>
        <color theme="1"/>
      </rPr>
      <t xml:space="preserve"> (Mens-Watches): $12,999.99
3. </t>
    </r>
    <r>
      <rPr>
        <rFont val="Arial"/>
        <b/>
        <color theme="1"/>
      </rPr>
      <t>Rolex Datejust</t>
    </r>
    <r>
      <rPr>
        <rFont val="Arial"/>
        <color theme="1"/>
      </rPr>
      <t xml:space="preserve"> (Mens-Watches): $10,999.99
4. </t>
    </r>
    <r>
      <rPr>
        <rFont val="Arial"/>
        <b/>
        <color theme="1"/>
      </rPr>
      <t>Rolex Cellini Date Black Dial</t>
    </r>
    <r>
      <rPr>
        <rFont val="Arial"/>
        <color theme="1"/>
      </rPr>
      <t xml:space="preserve"> (Mens-Watches): $8,999.99
5. </t>
    </r>
    <r>
      <rPr>
        <rFont val="Arial"/>
        <b/>
        <color theme="1"/>
      </rPr>
      <t>Annibale Colombo Sofa</t>
    </r>
    <r>
      <rPr>
        <rFont val="Arial"/>
        <color theme="1"/>
      </rPr>
      <t xml:space="preserve"> (Furniture): $2,499.99
</t>
    </r>
    <r>
      <rPr>
        <rFont val="Arial"/>
        <b/>
        <color theme="1"/>
        <sz val="16.0"/>
      </rPr>
      <t>Top 5 Highest Rated Products</t>
    </r>
    <r>
      <rPr>
        <rFont val="Arial"/>
        <color theme="1"/>
      </rPr>
      <t xml:space="preserve">
These products have achieved the highest customer satisfaction scores:
1. </t>
    </r>
    <r>
      <rPr>
        <rFont val="Arial"/>
        <b/>
        <color theme="1"/>
      </rPr>
      <t>Amazon Echo Plus</t>
    </r>
    <r>
      <rPr>
        <rFont val="Arial"/>
        <color theme="1"/>
      </rPr>
      <t xml:space="preserve"> (Mobile-Accessories): 4.99
2. </t>
    </r>
    <r>
      <rPr>
        <rFont val="Arial"/>
        <b/>
        <color theme="1"/>
      </rPr>
      <t>Huawei Matebook X Pro</t>
    </r>
    <r>
      <rPr>
        <rFont val="Arial"/>
        <color theme="1"/>
      </rPr>
      <t xml:space="preserve"> (Laptops): 4.98
3. </t>
    </r>
    <r>
      <rPr>
        <rFont val="Arial"/>
        <b/>
        <color theme="1"/>
      </rPr>
      <t>Rolex Cellini Date Black Dial</t>
    </r>
    <r>
      <rPr>
        <rFont val="Arial"/>
        <color theme="1"/>
      </rPr>
      <t xml:space="preserve"> (Mens-Watches): 4.97
4. </t>
    </r>
    <r>
      <rPr>
        <rFont val="Arial"/>
        <b/>
        <color theme="1"/>
      </rPr>
      <t>Water</t>
    </r>
    <r>
      <rPr>
        <rFont val="Arial"/>
        <color theme="1"/>
      </rPr>
      <t xml:space="preserve"> (Groceries): 4.96
5. </t>
    </r>
    <r>
      <rPr>
        <rFont val="Arial"/>
        <b/>
        <color theme="1"/>
      </rPr>
      <t>Mulberry</t>
    </r>
    <r>
      <rPr>
        <rFont val="Arial"/>
        <color theme="1"/>
      </rPr>
      <t xml:space="preserve"> (Groceries): 4.95
</t>
    </r>
    <r>
      <rPr>
        <rFont val="Arial"/>
        <b/>
        <color theme="1"/>
        <sz val="20.0"/>
      </rPr>
      <t>Visual Analysis</t>
    </r>
    <r>
      <rPr>
        <rFont val="Arial"/>
        <color theme="1"/>
      </rPr>
      <t xml:space="preserve">
The following charts provide further detail on the distribution and relationships within the data:
• </t>
    </r>
    <r>
      <rPr>
        <rFont val="Arial"/>
        <b/>
        <color theme="1"/>
      </rPr>
      <t>Number of Products by Category</t>
    </r>
    <r>
      <rPr>
        <rFont val="Arial"/>
        <color theme="1"/>
      </rPr>
      <t xml:space="preserve">: Shows the high volume of kitchen and grocery items compared to other segments.
• </t>
    </r>
    <r>
      <rPr>
        <rFont val="Arial"/>
        <b/>
        <color theme="1"/>
      </rPr>
      <t>Average Product Price by Category</t>
    </r>
    <r>
      <rPr>
        <rFont val="Arial"/>
        <color theme="1"/>
      </rPr>
      <t xml:space="preserve">: Highlights the extreme price differences between luxury watches and everyday consumer goods.
• </t>
    </r>
    <r>
      <rPr>
        <rFont val="Arial"/>
        <b/>
        <color theme="1"/>
      </rPr>
      <t>Sentiment Analysis Distribution</t>
    </r>
    <r>
      <rPr>
        <rFont val="Arial"/>
        <color theme="1"/>
      </rPr>
      <t xml:space="preserve">: Illustrates the breakdown of customer feedback across the catalog.
• </t>
    </r>
    <r>
      <rPr>
        <rFont val="Arial"/>
        <b/>
        <color theme="1"/>
      </rPr>
      <t>Product Price vs. Rating (Log Scale Price)</t>
    </r>
    <r>
      <rPr>
        <rFont val="Arial"/>
        <color theme="1"/>
      </rPr>
      <t>: Explores whether higher-priced items correlate with higher ratings (note the log scale used to accommodate the wide price range).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</si>
</sst>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4">
    <tableStyle count="4" pivot="0" name="product_descrip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Price vs. Rating (Log 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verage Product Price by Catego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umber of Products by Category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Product Price vs. Rating (Log Scale Price)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'Product Price vs. Rating (Log S'!$A$4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</c:f>
            </c:strRef>
          </c:xVal>
          <c:yVal>
            <c:numRef>
              <c:f>'Product Price vs. Rating (Log S'!$C$4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'Product Price vs. Rating (Log S'!$A$5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</c:f>
            </c:strRef>
          </c:xVal>
          <c:yVal>
            <c:numRef>
              <c:f>'Product Price vs. Rating (Log S'!$C$5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'Product Price vs. Rating (Log S'!$A$6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</c:f>
            </c:strRef>
          </c:xVal>
          <c:yVal>
            <c:numRef>
              <c:f>'Product Price vs. Rating (Log S'!$C$6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'Product Price vs. Rating (Log S'!$A$7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</c:f>
            </c:strRef>
          </c:xVal>
          <c:yVal>
            <c:numRef>
              <c:f>'Product Price vs. Rating (Log S'!$C$7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'Product Price vs. Rating (Log S'!$A$8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</c:f>
            </c:strRef>
          </c:xVal>
          <c:yVal>
            <c:numRef>
              <c:f>'Product Price vs. Rating (Log S'!$C$8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'Product Price vs. Rating (Log S'!$A$9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</c:f>
            </c:strRef>
          </c:xVal>
          <c:yVal>
            <c:numRef>
              <c:f>'Product Price vs. Rating (Log S'!$C$9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'Product Price vs. Rating (Log S'!$A$10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S'!$B$10</c:f>
            </c:strRef>
          </c:xVal>
          <c:yVal>
            <c:numRef>
              <c:f>'Product Price vs. Rating (Log S'!$C$10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'Product Price vs. Rating (Log S'!$A$11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S'!$B$11</c:f>
            </c:strRef>
          </c:xVal>
          <c:yVal>
            <c:numRef>
              <c:f>'Product Price vs. Rating (Log S'!$C$11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'Product Price vs. Rating (Log S'!$A$12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S'!$B$12</c:f>
            </c:strRef>
          </c:xVal>
          <c:yVal>
            <c:numRef>
              <c:f>'Product Price vs. Rating (Log S'!$C$12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'Product Price vs. Rating (Log S'!$A$13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S'!$B$13</c:f>
            </c:strRef>
          </c:xVal>
          <c:yVal>
            <c:numRef>
              <c:f>'Product Price vs. Rating (Log S'!$C$13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'Product Price vs. Rating (Log S'!$A$14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S'!$B$14</c:f>
            </c:strRef>
          </c:xVal>
          <c:yVal>
            <c:numRef>
              <c:f>'Product Price vs. Rating (Log S'!$C$14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'Product Price vs. Rating (Log S'!$A$15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S'!$B$15</c:f>
            </c:strRef>
          </c:xVal>
          <c:yVal>
            <c:numRef>
              <c:f>'Product Price vs. Rating (Log S'!$C$15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'Product Price vs. Rating (Log S'!$A$16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S'!$B$16</c:f>
            </c:strRef>
          </c:xVal>
          <c:yVal>
            <c:numRef>
              <c:f>'Product Price vs. Rating (Log S'!$C$16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'Product Price vs. Rating (Log S'!$A$17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S'!$B$17</c:f>
            </c:strRef>
          </c:xVal>
          <c:yVal>
            <c:numRef>
              <c:f>'Product Price vs. Rating (Log S'!$C$17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'Product Price vs. Rating (Log S'!$A$18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S'!$B$18</c:f>
            </c:strRef>
          </c:xVal>
          <c:yVal>
            <c:numRef>
              <c:f>'Product Price vs. Rating (Log S'!$C$18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'Product Price vs. Rating (Log S'!$A$19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S'!$B$19</c:f>
            </c:strRef>
          </c:xVal>
          <c:yVal>
            <c:numRef>
              <c:f>'Product Price vs. Rating (Log S'!$C$19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'Product Price vs. Rating (Log S'!$A$20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S'!$B$20</c:f>
            </c:strRef>
          </c:xVal>
          <c:yVal>
            <c:numRef>
              <c:f>'Product Price vs. Rating (Log S'!$C$20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"/>
          <c:order val="17"/>
          <c:tx>
            <c:strRef>
              <c:f>'Product Price vs. Rating (Log S'!$A$21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S'!$B$21</c:f>
            </c:strRef>
          </c:xVal>
          <c:yVal>
            <c:numRef>
              <c:f>'Product Price vs. Rating (Log S'!$C$21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"/>
          <c:order val="18"/>
          <c:tx>
            <c:strRef>
              <c:f>'Product Price vs. Rating (Log S'!$A$22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S'!$B$22</c:f>
            </c:strRef>
          </c:xVal>
          <c:yVal>
            <c:numRef>
              <c:f>'Product Price vs. Rating (Log S'!$C$22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"/>
          <c:order val="19"/>
          <c:tx>
            <c:strRef>
              <c:f>'Product Price vs. Rating (Log S'!$A$23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S'!$B$23</c:f>
            </c:strRef>
          </c:xVal>
          <c:yVal>
            <c:numRef>
              <c:f>'Product Price vs. Rating (Log S'!$C$23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"/>
          <c:order val="20"/>
          <c:tx>
            <c:strRef>
              <c:f>'Product Price vs. Rating (Log S'!$A$24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S'!$B$24</c:f>
            </c:strRef>
          </c:xVal>
          <c:yVal>
            <c:numRef>
              <c:f>'Product Price vs. Rating (Log S'!$C$24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"/>
          <c:order val="21"/>
          <c:tx>
            <c:strRef>
              <c:f>'Product Price vs. Rating (Log S'!$A$25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S'!$B$25</c:f>
            </c:strRef>
          </c:xVal>
          <c:yVal>
            <c:numRef>
              <c:f>'Product Price vs. Rating (Log S'!$C$25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"/>
          <c:order val="22"/>
          <c:tx>
            <c:strRef>
              <c:f>'Product Price vs. Rating (Log S'!$A$26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S'!$B$26</c:f>
            </c:strRef>
          </c:xVal>
          <c:yVal>
            <c:numRef>
              <c:f>'Product Price vs. Rating (Log S'!$C$26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"/>
          <c:order val="23"/>
          <c:tx>
            <c:strRef>
              <c:f>'Product Price vs. Rating (Log S'!$A$27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S'!$B$27</c:f>
            </c:strRef>
          </c:xVal>
          <c:yVal>
            <c:numRef>
              <c:f>'Product Price vs. Rating (Log S'!$C$27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"/>
          <c:order val="24"/>
          <c:tx>
            <c:strRef>
              <c:f>'Product Price vs. Rating (Log S'!$A$28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S'!$B$28</c:f>
            </c:strRef>
          </c:xVal>
          <c:yVal>
            <c:numRef>
              <c:f>'Product Price vs. Rating (Log S'!$C$28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"/>
          <c:order val="25"/>
          <c:tx>
            <c:strRef>
              <c:f>'Product Price vs. Rating (Log S'!$A$29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S'!$B$29</c:f>
            </c:strRef>
          </c:xVal>
          <c:yVal>
            <c:numRef>
              <c:f>'Product Price vs. Rating (Log S'!$C$29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"/>
          <c:order val="26"/>
          <c:tx>
            <c:strRef>
              <c:f>'Product Price vs. Rating (Log S'!$A$30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S'!$B$30</c:f>
            </c:strRef>
          </c:xVal>
          <c:yVal>
            <c:numRef>
              <c:f>'Product Price vs. Rating (Log S'!$C$30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"/>
          <c:order val="27"/>
          <c:tx>
            <c:strRef>
              <c:f>'Product Price vs. Rating (Log S'!$A$31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S'!$B$31</c:f>
            </c:strRef>
          </c:xVal>
          <c:yVal>
            <c:numRef>
              <c:f>'Product Price vs. Rating (Log S'!$C$31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"/>
          <c:order val="28"/>
          <c:tx>
            <c:strRef>
              <c:f>'Product Price vs. Rating (Log S'!$A$32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S'!$B$32</c:f>
            </c:strRef>
          </c:xVal>
          <c:yVal>
            <c:numRef>
              <c:f>'Product Price vs. Rating (Log S'!$C$32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"/>
          <c:order val="29"/>
          <c:tx>
            <c:strRef>
              <c:f>'Product Price vs. Rating (Log S'!$A$33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S'!$B$33</c:f>
            </c:strRef>
          </c:xVal>
          <c:yVal>
            <c:numRef>
              <c:f>'Product Price vs. Rating (Log S'!$C$33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"/>
          <c:order val="30"/>
          <c:tx>
            <c:strRef>
              <c:f>'Product Price vs. Rating (Log S'!$A$34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S'!$B$34</c:f>
            </c:strRef>
          </c:xVal>
          <c:yVal>
            <c:numRef>
              <c:f>'Product Price vs. Rating (Log S'!$C$34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"/>
          <c:order val="31"/>
          <c:tx>
            <c:strRef>
              <c:f>'Product Price vs. Rating (Log S'!$A$35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S'!$B$35</c:f>
            </c:strRef>
          </c:xVal>
          <c:yVal>
            <c:numRef>
              <c:f>'Product Price vs. Rating (Log S'!$C$35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"/>
          <c:order val="32"/>
          <c:tx>
            <c:strRef>
              <c:f>'Product Price vs. Rating (Log S'!$A$36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S'!$B$36</c:f>
            </c:strRef>
          </c:xVal>
          <c:yVal>
            <c:numRef>
              <c:f>'Product Price vs. Rating (Log S'!$C$36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"/>
          <c:order val="33"/>
          <c:tx>
            <c:strRef>
              <c:f>'Product Price vs. Rating (Log S'!$A$37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S'!$B$37</c:f>
            </c:strRef>
          </c:xVal>
          <c:yVal>
            <c:numRef>
              <c:f>'Product Price vs. Rating (Log S'!$C$37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"/>
          <c:order val="34"/>
          <c:tx>
            <c:strRef>
              <c:f>'Product Price vs. Rating (Log S'!$A$38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S'!$B$38</c:f>
            </c:strRef>
          </c:xVal>
          <c:yVal>
            <c:numRef>
              <c:f>'Product Price vs. Rating (Log S'!$C$38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"/>
          <c:order val="35"/>
          <c:tx>
            <c:strRef>
              <c:f>'Product Price vs. Rating (Log S'!$A$39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S'!$B$39</c:f>
            </c:strRef>
          </c:xVal>
          <c:yVal>
            <c:numRef>
              <c:f>'Product Price vs. Rating (Log S'!$C$39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"/>
          <c:order val="36"/>
          <c:tx>
            <c:strRef>
              <c:f>'Product Price vs. Rating (Log S'!$A$40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S'!$B$40</c:f>
            </c:strRef>
          </c:xVal>
          <c:yVal>
            <c:numRef>
              <c:f>'Product Price vs. Rating (Log S'!$C$40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"/>
          <c:order val="37"/>
          <c:tx>
            <c:strRef>
              <c:f>'Product Price vs. Rating (Log S'!$A$41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S'!$B$41</c:f>
            </c:strRef>
          </c:xVal>
          <c:yVal>
            <c:numRef>
              <c:f>'Product Price vs. Rating (Log S'!$C$41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"/>
          <c:order val="38"/>
          <c:tx>
            <c:strRef>
              <c:f>'Product Price vs. Rating (Log S'!$A$42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S'!$B$42</c:f>
            </c:strRef>
          </c:xVal>
          <c:yVal>
            <c:numRef>
              <c:f>'Product Price vs. Rating (Log S'!$C$42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"/>
          <c:order val="39"/>
          <c:tx>
            <c:strRef>
              <c:f>'Product Price vs. Rating (Log S'!$A$43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S'!$B$43</c:f>
            </c:strRef>
          </c:xVal>
          <c:yVal>
            <c:numRef>
              <c:f>'Product Price vs. Rating (Log S'!$C$43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"/>
          <c:order val="40"/>
          <c:tx>
            <c:strRef>
              <c:f>'Product Price vs. Rating (Log S'!$A$44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S'!$B$44</c:f>
            </c:strRef>
          </c:xVal>
          <c:yVal>
            <c:numRef>
              <c:f>'Product Price vs. Rating (Log S'!$C$44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"/>
          <c:order val="41"/>
          <c:tx>
            <c:strRef>
              <c:f>'Product Price vs. Rating (Log S'!$A$45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S'!$B$45</c:f>
            </c:strRef>
          </c:xVal>
          <c:yVal>
            <c:numRef>
              <c:f>'Product Price vs. Rating (Log S'!$C$45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"/>
          <c:order val="42"/>
          <c:tx>
            <c:strRef>
              <c:f>'Product Price vs. Rating (Log S'!$A$46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S'!$B$46</c:f>
            </c:strRef>
          </c:xVal>
          <c:yVal>
            <c:numRef>
              <c:f>'Product Price vs. Rating (Log S'!$C$46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"/>
          <c:order val="43"/>
          <c:tx>
            <c:strRef>
              <c:f>'Product Price vs. Rating (Log S'!$A$47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S'!$B$47</c:f>
            </c:strRef>
          </c:xVal>
          <c:yVal>
            <c:numRef>
              <c:f>'Product Price vs. Rating (Log S'!$C$47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"/>
          <c:order val="44"/>
          <c:tx>
            <c:strRef>
              <c:f>'Product Price vs. Rating (Log S'!$A$48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S'!$B$48</c:f>
            </c:strRef>
          </c:xVal>
          <c:yVal>
            <c:numRef>
              <c:f>'Product Price vs. Rating (Log S'!$C$48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"/>
          <c:order val="45"/>
          <c:tx>
            <c:strRef>
              <c:f>'Product Price vs. Rating (Log S'!$A$49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S'!$B$49</c:f>
            </c:strRef>
          </c:xVal>
          <c:yVal>
            <c:numRef>
              <c:f>'Product Price vs. Rating (Log S'!$C$49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"/>
          <c:order val="46"/>
          <c:tx>
            <c:strRef>
              <c:f>'Product Price vs. Rating (Log S'!$A$50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S'!$B$50</c:f>
            </c:strRef>
          </c:xVal>
          <c:yVal>
            <c:numRef>
              <c:f>'Product Price vs. Rating (Log S'!$C$50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"/>
          <c:order val="47"/>
          <c:tx>
            <c:strRef>
              <c:f>'Product Price vs. Rating (Log S'!$A$51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S'!$B$51</c:f>
            </c:strRef>
          </c:xVal>
          <c:yVal>
            <c:numRef>
              <c:f>'Product Price vs. Rating (Log S'!$C$51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"/>
          <c:order val="48"/>
          <c:tx>
            <c:strRef>
              <c:f>'Product Price vs. Rating (Log S'!$A$52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S'!$B$52</c:f>
            </c:strRef>
          </c:xVal>
          <c:yVal>
            <c:numRef>
              <c:f>'Product Price vs. Rating (Log S'!$C$52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"/>
          <c:order val="49"/>
          <c:tx>
            <c:strRef>
              <c:f>'Product Price vs. Rating (Log S'!$A$53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S'!$B$53</c:f>
            </c:strRef>
          </c:xVal>
          <c:yVal>
            <c:numRef>
              <c:f>'Product Price vs. Rating (Log S'!$C$53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"/>
          <c:order val="50"/>
          <c:tx>
            <c:strRef>
              <c:f>'Product Price vs. Rating (Log S'!$A$54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S'!$B$54</c:f>
            </c:strRef>
          </c:xVal>
          <c:yVal>
            <c:numRef>
              <c:f>'Product Price vs. Rating (Log S'!$C$54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"/>
          <c:order val="51"/>
          <c:tx>
            <c:strRef>
              <c:f>'Product Price vs. Rating (Log S'!$A$55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S'!$B$55</c:f>
            </c:strRef>
          </c:xVal>
          <c:yVal>
            <c:numRef>
              <c:f>'Product Price vs. Rating (Log S'!$C$55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"/>
          <c:order val="52"/>
          <c:tx>
            <c:strRef>
              <c:f>'Product Price vs. Rating (Log S'!$A$56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S'!$B$56</c:f>
            </c:strRef>
          </c:xVal>
          <c:yVal>
            <c:numRef>
              <c:f>'Product Price vs. Rating (Log S'!$C$56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"/>
          <c:order val="53"/>
          <c:tx>
            <c:strRef>
              <c:f>'Product Price vs. Rating (Log S'!$A$57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S'!$B$57</c:f>
            </c:strRef>
          </c:xVal>
          <c:yVal>
            <c:numRef>
              <c:f>'Product Price vs. Rating (Log S'!$C$57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"/>
          <c:order val="54"/>
          <c:tx>
            <c:strRef>
              <c:f>'Product Price vs. Rating (Log S'!$A$58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S'!$B$58</c:f>
            </c:strRef>
          </c:xVal>
          <c:yVal>
            <c:numRef>
              <c:f>'Product Price vs. Rating (Log S'!$C$58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"/>
          <c:order val="55"/>
          <c:tx>
            <c:strRef>
              <c:f>'Product Price vs. Rating (Log S'!$A$59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S'!$B$59</c:f>
            </c:strRef>
          </c:xVal>
          <c:yVal>
            <c:numRef>
              <c:f>'Product Price vs. Rating (Log S'!$C$59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"/>
          <c:order val="56"/>
          <c:tx>
            <c:strRef>
              <c:f>'Product Price vs. Rating (Log S'!$A$60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S'!$B$60</c:f>
            </c:strRef>
          </c:xVal>
          <c:yVal>
            <c:numRef>
              <c:f>'Product Price vs. Rating (Log S'!$C$60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"/>
          <c:order val="57"/>
          <c:tx>
            <c:strRef>
              <c:f>'Product Price vs. Rating (Log S'!$A$61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S'!$B$61</c:f>
            </c:strRef>
          </c:xVal>
          <c:yVal>
            <c:numRef>
              <c:f>'Product Price vs. Rating (Log S'!$C$61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"/>
          <c:order val="58"/>
          <c:tx>
            <c:strRef>
              <c:f>'Product Price vs. Rating (Log S'!$A$62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S'!$B$62</c:f>
            </c:strRef>
          </c:xVal>
          <c:yVal>
            <c:numRef>
              <c:f>'Product Price vs. Rating (Log S'!$C$62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"/>
          <c:order val="59"/>
          <c:tx>
            <c:strRef>
              <c:f>'Product Price vs. Rating (Log S'!$A$63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S'!$B$63</c:f>
            </c:strRef>
          </c:xVal>
          <c:yVal>
            <c:numRef>
              <c:f>'Product Price vs. Rating (Log S'!$C$63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"/>
          <c:order val="60"/>
          <c:tx>
            <c:strRef>
              <c:f>'Product Price vs. Rating (Log S'!$A$64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S'!$B$64</c:f>
            </c:strRef>
          </c:xVal>
          <c:yVal>
            <c:numRef>
              <c:f>'Product Price vs. Rating (Log S'!$C$64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"/>
          <c:order val="61"/>
          <c:tx>
            <c:strRef>
              <c:f>'Product Price vs. Rating (Log S'!$A$65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S'!$B$65</c:f>
            </c:strRef>
          </c:xVal>
          <c:yVal>
            <c:numRef>
              <c:f>'Product Price vs. Rating (Log S'!$C$65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"/>
          <c:order val="62"/>
          <c:tx>
            <c:strRef>
              <c:f>'Product Price vs. Rating (Log S'!$A$66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S'!$B$66</c:f>
            </c:strRef>
          </c:xVal>
          <c:yVal>
            <c:numRef>
              <c:f>'Product Price vs. Rating (Log S'!$C$66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"/>
          <c:order val="63"/>
          <c:tx>
            <c:strRef>
              <c:f>'Product Price vs. Rating (Log S'!$A$67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S'!$B$67</c:f>
            </c:strRef>
          </c:xVal>
          <c:yVal>
            <c:numRef>
              <c:f>'Product Price vs. Rating (Log S'!$C$67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"/>
          <c:order val="64"/>
          <c:tx>
            <c:strRef>
              <c:f>'Product Price vs. Rating (Log S'!$A$68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S'!$B$68</c:f>
            </c:strRef>
          </c:xVal>
          <c:yVal>
            <c:numRef>
              <c:f>'Product Price vs. Rating (Log S'!$C$68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"/>
          <c:order val="65"/>
          <c:tx>
            <c:strRef>
              <c:f>'Product Price vs. Rating (Log S'!$A$69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S'!$B$69</c:f>
            </c:strRef>
          </c:xVal>
          <c:yVal>
            <c:numRef>
              <c:f>'Product Price vs. Rating (Log S'!$C$69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"/>
          <c:order val="66"/>
          <c:tx>
            <c:strRef>
              <c:f>'Product Price vs. Rating (Log S'!$A$70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S'!$B$70</c:f>
            </c:strRef>
          </c:xVal>
          <c:yVal>
            <c:numRef>
              <c:f>'Product Price vs. Rating (Log S'!$C$70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"/>
          <c:order val="67"/>
          <c:tx>
            <c:strRef>
              <c:f>'Product Price vs. Rating (Log S'!$A$71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S'!$B$71</c:f>
            </c:strRef>
          </c:xVal>
          <c:yVal>
            <c:numRef>
              <c:f>'Product Price vs. Rating (Log S'!$C$71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"/>
          <c:order val="68"/>
          <c:tx>
            <c:strRef>
              <c:f>'Product Price vs. Rating (Log S'!$A$72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S'!$B$72</c:f>
            </c:strRef>
          </c:xVal>
          <c:yVal>
            <c:numRef>
              <c:f>'Product Price vs. Rating (Log S'!$C$72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"/>
          <c:order val="69"/>
          <c:tx>
            <c:strRef>
              <c:f>'Product Price vs. Rating (Log S'!$A$73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S'!$B$73</c:f>
            </c:strRef>
          </c:xVal>
          <c:yVal>
            <c:numRef>
              <c:f>'Product Price vs. Rating (Log S'!$C$73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"/>
          <c:order val="70"/>
          <c:tx>
            <c:strRef>
              <c:f>'Product Price vs. Rating (Log S'!$A$74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S'!$B$74</c:f>
            </c:strRef>
          </c:xVal>
          <c:yVal>
            <c:numRef>
              <c:f>'Product Price vs. Rating (Log S'!$C$74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"/>
          <c:order val="71"/>
          <c:tx>
            <c:strRef>
              <c:f>'Product Price vs. Rating (Log S'!$A$75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S'!$B$75</c:f>
            </c:strRef>
          </c:xVal>
          <c:yVal>
            <c:numRef>
              <c:f>'Product Price vs. Rating (Log S'!$C$75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"/>
          <c:order val="72"/>
          <c:tx>
            <c:strRef>
              <c:f>'Product Price vs. Rating (Log S'!$A$76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S'!$B$76</c:f>
            </c:strRef>
          </c:xVal>
          <c:yVal>
            <c:numRef>
              <c:f>'Product Price vs. Rating (Log S'!$C$76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"/>
          <c:order val="73"/>
          <c:tx>
            <c:strRef>
              <c:f>'Product Price vs. Rating (Log S'!$A$77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S'!$B$77</c:f>
            </c:strRef>
          </c:xVal>
          <c:yVal>
            <c:numRef>
              <c:f>'Product Price vs. Rating (Log S'!$C$77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"/>
          <c:order val="74"/>
          <c:tx>
            <c:strRef>
              <c:f>'Product Price vs. Rating (Log S'!$A$78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S'!$B$78</c:f>
            </c:strRef>
          </c:xVal>
          <c:yVal>
            <c:numRef>
              <c:f>'Product Price vs. Rating (Log S'!$C$78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"/>
          <c:order val="75"/>
          <c:tx>
            <c:strRef>
              <c:f>'Product Price vs. Rating (Log S'!$A$79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S'!$B$79</c:f>
            </c:strRef>
          </c:xVal>
          <c:yVal>
            <c:numRef>
              <c:f>'Product Price vs. Rating (Log S'!$C$79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"/>
          <c:order val="76"/>
          <c:tx>
            <c:strRef>
              <c:f>'Product Price vs. Rating (Log S'!$A$80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S'!$B$80</c:f>
            </c:strRef>
          </c:xVal>
          <c:yVal>
            <c:numRef>
              <c:f>'Product Price vs. Rating (Log S'!$C$80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"/>
          <c:order val="77"/>
          <c:tx>
            <c:strRef>
              <c:f>'Product Price vs. Rating (Log S'!$A$81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S'!$B$81</c:f>
            </c:strRef>
          </c:xVal>
          <c:yVal>
            <c:numRef>
              <c:f>'Product Price vs. Rating (Log S'!$C$81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"/>
          <c:order val="78"/>
          <c:tx>
            <c:strRef>
              <c:f>'Product Price vs. Rating (Log S'!$A$82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S'!$B$82</c:f>
            </c:strRef>
          </c:xVal>
          <c:yVal>
            <c:numRef>
              <c:f>'Product Price vs. Rating (Log S'!$C$82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"/>
          <c:order val="79"/>
          <c:tx>
            <c:strRef>
              <c:f>'Product Price vs. Rating (Log S'!$A$83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S'!$B$83</c:f>
            </c:strRef>
          </c:xVal>
          <c:yVal>
            <c:numRef>
              <c:f>'Product Price vs. Rating (Log S'!$C$83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"/>
          <c:order val="80"/>
          <c:tx>
            <c:strRef>
              <c:f>'Product Price vs. Rating (Log S'!$A$84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S'!$B$84</c:f>
            </c:strRef>
          </c:xVal>
          <c:yVal>
            <c:numRef>
              <c:f>'Product Price vs. Rating (Log S'!$C$84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"/>
          <c:order val="81"/>
          <c:tx>
            <c:strRef>
              <c:f>'Product Price vs. Rating (Log S'!$A$85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S'!$B$85</c:f>
            </c:strRef>
          </c:xVal>
          <c:yVal>
            <c:numRef>
              <c:f>'Product Price vs. Rating (Log S'!$C$85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"/>
          <c:order val="82"/>
          <c:tx>
            <c:strRef>
              <c:f>'Product Price vs. Rating (Log S'!$A$86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S'!$B$86</c:f>
            </c:strRef>
          </c:xVal>
          <c:yVal>
            <c:numRef>
              <c:f>'Product Price vs. Rating (Log S'!$C$86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"/>
          <c:order val="83"/>
          <c:tx>
            <c:strRef>
              <c:f>'Product Price vs. Rating (Log S'!$A$87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S'!$B$87</c:f>
            </c:strRef>
          </c:xVal>
          <c:yVal>
            <c:numRef>
              <c:f>'Product Price vs. Rating (Log S'!$C$87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"/>
          <c:order val="84"/>
          <c:tx>
            <c:strRef>
              <c:f>'Product Price vs. Rating (Log S'!$A$88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S'!$B$88</c:f>
            </c:strRef>
          </c:xVal>
          <c:yVal>
            <c:numRef>
              <c:f>'Product Price vs. Rating (Log S'!$C$88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"/>
          <c:order val="85"/>
          <c:tx>
            <c:strRef>
              <c:f>'Product Price vs. Rating (Log S'!$A$89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S'!$B$89</c:f>
            </c:strRef>
          </c:xVal>
          <c:yVal>
            <c:numRef>
              <c:f>'Product Price vs. Rating (Log S'!$C$89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"/>
          <c:order val="86"/>
          <c:tx>
            <c:strRef>
              <c:f>'Product Price vs. Rating (Log S'!$A$90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S'!$B$90</c:f>
            </c:strRef>
          </c:xVal>
          <c:yVal>
            <c:numRef>
              <c:f>'Product Price vs. Rating (Log S'!$C$90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"/>
          <c:order val="87"/>
          <c:tx>
            <c:strRef>
              <c:f>'Product Price vs. Rating (Log S'!$A$91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S'!$B$91</c:f>
            </c:strRef>
          </c:xVal>
          <c:yVal>
            <c:numRef>
              <c:f>'Product Price vs. Rating (Log S'!$C$91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"/>
          <c:order val="88"/>
          <c:tx>
            <c:strRef>
              <c:f>'Product Price vs. Rating (Log S'!$A$92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S'!$B$92</c:f>
            </c:strRef>
          </c:xVal>
          <c:yVal>
            <c:numRef>
              <c:f>'Product Price vs. Rating (Log S'!$C$92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"/>
          <c:order val="89"/>
          <c:tx>
            <c:strRef>
              <c:f>'Product Price vs. Rating (Log S'!$A$93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S'!$B$93</c:f>
            </c:strRef>
          </c:xVal>
          <c:yVal>
            <c:numRef>
              <c:f>'Product Price vs. Rating (Log S'!$C$93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"/>
          <c:order val="90"/>
          <c:tx>
            <c:strRef>
              <c:f>'Product Price vs. Rating (Log S'!$A$94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S'!$B$94</c:f>
            </c:strRef>
          </c:xVal>
          <c:yVal>
            <c:numRef>
              <c:f>'Product Price vs. Rating (Log S'!$C$94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"/>
          <c:order val="91"/>
          <c:tx>
            <c:strRef>
              <c:f>'Product Price vs. Rating (Log S'!$A$95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S'!$B$95</c:f>
            </c:strRef>
          </c:xVal>
          <c:yVal>
            <c:numRef>
              <c:f>'Product Price vs. Rating (Log S'!$C$95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"/>
          <c:order val="92"/>
          <c:tx>
            <c:strRef>
              <c:f>'Product Price vs. Rating (Log S'!$A$96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S'!$B$96</c:f>
            </c:strRef>
          </c:xVal>
          <c:yVal>
            <c:numRef>
              <c:f>'Product Price vs. Rating (Log S'!$C$96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"/>
          <c:order val="93"/>
          <c:tx>
            <c:strRef>
              <c:f>'Product Price vs. Rating (Log S'!$A$97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S'!$B$97</c:f>
            </c:strRef>
          </c:xVal>
          <c:yVal>
            <c:numRef>
              <c:f>'Product Price vs. Rating (Log S'!$C$97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"/>
          <c:order val="94"/>
          <c:tx>
            <c:strRef>
              <c:f>'Product Price vs. Rating (Log S'!$A$98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S'!$B$98</c:f>
            </c:strRef>
          </c:xVal>
          <c:yVal>
            <c:numRef>
              <c:f>'Product Price vs. Rating (Log S'!$C$98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"/>
          <c:order val="95"/>
          <c:tx>
            <c:strRef>
              <c:f>'Product Price vs. Rating (Log S'!$A$99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S'!$B$99</c:f>
            </c:strRef>
          </c:xVal>
          <c:yVal>
            <c:numRef>
              <c:f>'Product Price vs. Rating (Log S'!$C$99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"/>
          <c:order val="96"/>
          <c:tx>
            <c:strRef>
              <c:f>'Product Price vs. Rating (Log S'!$A$100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S'!$B$100</c:f>
            </c:strRef>
          </c:xVal>
          <c:yVal>
            <c:numRef>
              <c:f>'Product Price vs. Rating (Log S'!$C$100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"/>
          <c:order val="97"/>
          <c:tx>
            <c:strRef>
              <c:f>'Product Price vs. Rating (Log S'!$A$101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S'!$B$101</c:f>
            </c:strRef>
          </c:xVal>
          <c:yVal>
            <c:numRef>
              <c:f>'Product Price vs. Rating (Log S'!$C$101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"/>
          <c:order val="98"/>
          <c:tx>
            <c:strRef>
              <c:f>'Product Price vs. Rating (Log S'!$A$102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S'!$B$102</c:f>
            </c:strRef>
          </c:xVal>
          <c:yVal>
            <c:numRef>
              <c:f>'Product Price vs. Rating (Log S'!$C$102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"/>
          <c:order val="99"/>
          <c:tx>
            <c:strRef>
              <c:f>'Product Price vs. Rating (Log S'!$A$103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'Product Price vs. Rating (Log S'!$B$103</c:f>
            </c:strRef>
          </c:xVal>
          <c:yVal>
            <c:numRef>
              <c:f>'Product Price vs. Rating (Log S'!$C$103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877074177"/>
        <c:axId val="614995305"/>
      </c:bubbleChart>
      <c:valAx>
        <c:axId val="8770741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995305"/>
      </c:valAx>
      <c:valAx>
        <c:axId val="614995305"/>
        <c:scaling>
          <c:orientation val="minMax"/>
          <c:max val="5.16074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07417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Product Price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'Average Product Price by Catego'!$B$3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Catego'!$B$4:$B$14</c:f>
              <c:numCache/>
            </c:numRef>
          </c:val>
        </c:ser>
        <c:ser>
          <c:idx val="1"/>
          <c:order val="1"/>
          <c:tx>
            <c:strRef>
              <c:f>'Average Product Price by Catego'!$C$3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Catego'!$C$4:$C$14</c:f>
              <c:numCache/>
            </c:numRef>
          </c:val>
        </c:ser>
        <c:ser>
          <c:idx val="2"/>
          <c:order val="2"/>
          <c:tx>
            <c:strRef>
              <c:f>'Average Product Price by Catego'!$D$3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Catego'!$D$4:$D$14</c:f>
              <c:numCache/>
            </c:numRef>
          </c:val>
        </c:ser>
        <c:ser>
          <c:idx val="3"/>
          <c:order val="3"/>
          <c:tx>
            <c:strRef>
              <c:f>'Average Product Price by Catego'!$E$3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Catego'!$E$4:$E$14</c:f>
              <c:numCache/>
            </c:numRef>
          </c:val>
        </c:ser>
        <c:ser>
          <c:idx val="4"/>
          <c:order val="4"/>
          <c:tx>
            <c:strRef>
              <c:f>'Average Product Price by Catego'!$F$3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Catego'!$F$4:$F$14</c:f>
              <c:numCache/>
            </c:numRef>
          </c:val>
        </c:ser>
        <c:ser>
          <c:idx val="5"/>
          <c:order val="5"/>
          <c:tx>
            <c:strRef>
              <c:f>'Average Product Price by Catego'!$G$3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Catego'!$G$4:$G$14</c:f>
              <c:numCache/>
            </c:numRef>
          </c:val>
        </c:ser>
        <c:ser>
          <c:idx val="6"/>
          <c:order val="6"/>
          <c:tx>
            <c:strRef>
              <c:f>'Average Product Price by Catego'!$H$3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Catego'!$H$4:$H$14</c:f>
              <c:numCache/>
            </c:numRef>
          </c:val>
        </c:ser>
        <c:ser>
          <c:idx val="7"/>
          <c:order val="7"/>
          <c:tx>
            <c:strRef>
              <c:f>'Average Product Price by Catego'!$I$3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Catego'!$I$4:$I$14</c:f>
              <c:numCache/>
            </c:numRef>
          </c:val>
        </c:ser>
        <c:ser>
          <c:idx val="8"/>
          <c:order val="8"/>
          <c:tx>
            <c:strRef>
              <c:f>'Average Product Price by Catego'!$J$3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Catego'!$J$4:$J$14</c:f>
              <c:numCache/>
            </c:numRef>
          </c:val>
        </c:ser>
        <c:ser>
          <c:idx val="9"/>
          <c:order val="9"/>
          <c:tx>
            <c:strRef>
              <c:f>'Average Product Price by Catego'!$K$3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Catego'!$K$4:$K$14</c:f>
              <c:numCache/>
            </c:numRef>
          </c:val>
        </c:ser>
        <c:ser>
          <c:idx val="10"/>
          <c:order val="10"/>
          <c:tx>
            <c:strRef>
              <c:f>'Average Product Price by Catego'!$L$3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'Average Product Price by Catego'!$A$4:$A$14</c:f>
            </c:strRef>
          </c:cat>
          <c:val>
            <c:numRef>
              <c:f>'Average Product Price by Catego'!$L$4:$L$14</c:f>
              <c:numCache/>
            </c:numRef>
          </c:val>
        </c:ser>
        <c:overlap val="100"/>
        <c:axId val="1036472016"/>
        <c:axId val="1029473228"/>
      </c:barChart>
      <c:catAx>
        <c:axId val="103647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473228"/>
      </c:catAx>
      <c:valAx>
        <c:axId val="1029473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472016"/>
      </c:valAx>
    </c:plotArea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Number of Products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'Number of Products by Category'!$B$3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Category'!$B$4:$B$14</c:f>
              <c:numCache/>
            </c:numRef>
          </c:val>
        </c:ser>
        <c:ser>
          <c:idx val="1"/>
          <c:order val="1"/>
          <c:tx>
            <c:strRef>
              <c:f>'Number of Products by Category'!$C$3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Category'!$C$4:$C$14</c:f>
              <c:numCache/>
            </c:numRef>
          </c:val>
        </c:ser>
        <c:ser>
          <c:idx val="2"/>
          <c:order val="2"/>
          <c:tx>
            <c:strRef>
              <c:f>'Number of Products by Category'!$D$3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Category'!$D$4:$D$14</c:f>
              <c:numCache/>
            </c:numRef>
          </c:val>
        </c:ser>
        <c:ser>
          <c:idx val="3"/>
          <c:order val="3"/>
          <c:tx>
            <c:strRef>
              <c:f>'Number of Products by Category'!$E$3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Category'!$E$4:$E$14</c:f>
              <c:numCache/>
            </c:numRef>
          </c:val>
        </c:ser>
        <c:ser>
          <c:idx val="4"/>
          <c:order val="4"/>
          <c:tx>
            <c:strRef>
              <c:f>'Number of Products by Category'!$F$3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Category'!$F$4:$F$14</c:f>
              <c:numCache/>
            </c:numRef>
          </c:val>
        </c:ser>
        <c:ser>
          <c:idx val="5"/>
          <c:order val="5"/>
          <c:tx>
            <c:strRef>
              <c:f>'Number of Products by Category'!$G$3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Category'!$G$4:$G$14</c:f>
              <c:numCache/>
            </c:numRef>
          </c:val>
        </c:ser>
        <c:ser>
          <c:idx val="6"/>
          <c:order val="6"/>
          <c:tx>
            <c:strRef>
              <c:f>'Number of Products by Category'!$H$3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Category'!$H$4:$H$14</c:f>
              <c:numCache/>
            </c:numRef>
          </c:val>
        </c:ser>
        <c:ser>
          <c:idx val="7"/>
          <c:order val="7"/>
          <c:tx>
            <c:strRef>
              <c:f>'Number of Products by Category'!$I$3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Category'!$I$4:$I$14</c:f>
              <c:numCache/>
            </c:numRef>
          </c:val>
        </c:ser>
        <c:ser>
          <c:idx val="8"/>
          <c:order val="8"/>
          <c:tx>
            <c:strRef>
              <c:f>'Number of Products by Category'!$J$3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Category'!$J$4:$J$14</c:f>
              <c:numCache/>
            </c:numRef>
          </c:val>
        </c:ser>
        <c:ser>
          <c:idx val="9"/>
          <c:order val="9"/>
          <c:tx>
            <c:strRef>
              <c:f>'Number of Products by Category'!$K$3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Category'!$K$4:$K$14</c:f>
              <c:numCache/>
            </c:numRef>
          </c:val>
        </c:ser>
        <c:ser>
          <c:idx val="10"/>
          <c:order val="10"/>
          <c:tx>
            <c:strRef>
              <c:f>'Number of Products by Category'!$L$3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'Number of Products by Category'!$A$4:$A$14</c:f>
            </c:strRef>
          </c:cat>
          <c:val>
            <c:numRef>
              <c:f>'Number of Products by Category'!$L$4:$L$14</c:f>
              <c:numCache/>
            </c:numRef>
          </c:val>
        </c:ser>
        <c:overlap val="100"/>
        <c:axId val="826202304"/>
        <c:axId val="1737552744"/>
      </c:barChart>
      <c:catAx>
        <c:axId val="826202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552744"/>
      </c:catAx>
      <c:valAx>
        <c:axId val="1737552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202304"/>
      </c:valAx>
    </c:plotArea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1" displayName="Product_Description" name="Product_Description" id="1">
  <tableColumns count="19">
    <tableColumn name="id" id="1"/>
    <tableColumn name="title" id="2"/>
    <tableColumn name="description" id="3"/>
    <tableColumn name="category" id="4"/>
    <tableColumn name="price" id="5"/>
    <tableColumn name="discountPercentage" id="6"/>
    <tableColumn name="rating" id="7"/>
    <tableColumn name="stock" id="8"/>
    <tableColumn name="tags" id="9"/>
    <tableColumn name="brand" id="10"/>
    <tableColumn name="weight" id="11"/>
    <tableColumn name="warrantyInformation" id="12"/>
    <tableColumn name="shippingInformation" id="13"/>
    <tableColumn name="availabilityStatus" id="14"/>
    <tableColumn name="reviews" id="15"/>
    <tableColumn name="returnPolicy" id="16"/>
    <tableColumn name="minimumOrderQuantity" id="17"/>
    <tableColumn name="Summary of the description using AI" id="18"/>
    <tableColumn name="Sentiment Analysis" id="19"/>
  </tableColumns>
  <tableStyleInfo name="product_description-style" showColumnStripes="0" showFirstColumn="1" showLastColumn="1" showRowStripes="1"/>
</table>
</file>

<file path=xl/tables/table2.xml><?xml version="1.0" encoding="utf-8"?>
<table xmlns="http://schemas.openxmlformats.org/spreadsheetml/2006/main" ref="A3:C103" displayName="Product_Price_vs._Rating_Log_Scale_Price_" name="Product_Price_vs._Rating_Log_Scale_Price_" id="2">
  <tableColumns count="3">
    <tableColumn name="price" id="1"/>
    <tableColumn name="rating" id="2"/>
    <tableColumn name="category" id="3"/>
  </tableColumns>
  <tableStyleInfo name="Product Price vs. Rating (Log S-style" showColumnStripes="0" showFirstColumn="1" showLastColumn="1" showRowStripes="1"/>
</table>
</file>

<file path=xl/tables/table3.xml><?xml version="1.0" encoding="utf-8"?>
<table xmlns="http://schemas.openxmlformats.org/spreadsheetml/2006/main" ref="A3:L14" displayName="Average_Product_Price_by_Category" name="Average_Product_Price_by_Category" id="3">
  <tableColumns count="12">
    <tableColumn name="Category" id="1"/>
    <tableColumn name="beauty" id="2"/>
    <tableColumn name="fragrances" id="3"/>
    <tableColumn name="furniture" id="4"/>
    <tableColumn name="groceries" id="5"/>
    <tableColumn name="home-decoration" id="6"/>
    <tableColumn name="kitchen-accessories" id="7"/>
    <tableColumn name="laptops" id="8"/>
    <tableColumn name="mens-shirts" id="9"/>
    <tableColumn name="mens-shoes" id="10"/>
    <tableColumn name="mens-watches" id="11"/>
    <tableColumn name="mobile-accessories" id="12"/>
  </tableColumns>
  <tableStyleInfo name="Average Product Price by Catego-style" showColumnStripes="0" showFirstColumn="1" showLastColumn="1" showRowStripes="1"/>
</table>
</file>

<file path=xl/tables/table4.xml><?xml version="1.0" encoding="utf-8"?>
<table xmlns="http://schemas.openxmlformats.org/spreadsheetml/2006/main" ref="A3:L14" displayName="Number_of_Products_by_Category" name="Number_of_Products_by_Category" id="4">
  <tableColumns count="12">
    <tableColumn name="Category" id="1"/>
    <tableColumn name="kitchen-accessories" id="2"/>
    <tableColumn name="groceries" id="3"/>
    <tableColumn name="mens-watches" id="4"/>
    <tableColumn name="beauty" id="5"/>
    <tableColumn name="fragrances" id="6"/>
    <tableColumn name="furniture" id="7"/>
    <tableColumn name="home-decoration" id="8"/>
    <tableColumn name="laptops" id="9"/>
    <tableColumn name="mens-shirts" id="10"/>
    <tableColumn name="mens-shoes" id="11"/>
    <tableColumn name="mobile-accessories" id="12"/>
  </tableColumns>
  <tableStyleInfo name="Number of Products by Categ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5"/>
    <col customWidth="1" min="3" max="3" width="37.63"/>
    <col customWidth="1" min="6" max="6" width="20.38"/>
    <col customWidth="1" min="9" max="9" width="22.13"/>
    <col customWidth="1" min="10" max="10" width="15.88"/>
    <col customWidth="1" min="12" max="12" width="20.63"/>
    <col customWidth="1" min="13" max="13" width="21.75"/>
    <col customWidth="1" min="14" max="14" width="18.0"/>
    <col customWidth="1" min="15" max="15" width="37.63"/>
    <col customWidth="1" min="16" max="16" width="17.63"/>
    <col customWidth="1" min="17" max="17" width="22.75"/>
    <col customWidth="1" min="18" max="18" width="68.5"/>
    <col customWidth="1" min="19" max="19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ht="22.5" customHeight="1">
      <c r="A2" s="3">
        <v>1.0</v>
      </c>
      <c r="B2" s="3" t="s">
        <v>19</v>
      </c>
      <c r="C2" s="3" t="s">
        <v>20</v>
      </c>
      <c r="D2" s="3" t="s">
        <v>21</v>
      </c>
      <c r="E2" s="3">
        <v>9.99</v>
      </c>
      <c r="F2" s="3">
        <v>10.48</v>
      </c>
      <c r="G2" s="3">
        <v>2.56</v>
      </c>
      <c r="H2" s="3">
        <v>99.0</v>
      </c>
      <c r="I2" s="3" t="s">
        <v>22</v>
      </c>
      <c r="J2" s="3" t="s">
        <v>23</v>
      </c>
      <c r="K2" s="3">
        <v>4.0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>
        <v>48.0</v>
      </c>
      <c r="R2" s="4" t="str">
        <f>IFERROR(__xludf.DUMMYFUNCTION("AI(""Summarize this description using 10 words"")"),"Popular volumizing and lengthening mascara for dramatic, long-lasting, cruelty-free lashes.")</f>
        <v>Popular volumizing and lengthening mascara for dramatic, long-lasting, cruelty-free lashes.</v>
      </c>
      <c r="S2" s="4" t="str">
        <f>IFERROR(__xludf.DUMMYFUNCTION("AI(""DO A SENTIMENT ANALYSIS FOR THIS TABLE"")"),"Mixed")</f>
        <v>Mixed</v>
      </c>
    </row>
    <row r="3" ht="22.5" customHeight="1">
      <c r="A3" s="3">
        <v>2.0</v>
      </c>
      <c r="B3" s="3" t="s">
        <v>29</v>
      </c>
      <c r="C3" s="3" t="s">
        <v>30</v>
      </c>
      <c r="D3" s="3" t="s">
        <v>21</v>
      </c>
      <c r="E3" s="3">
        <v>19.99</v>
      </c>
      <c r="F3" s="3">
        <v>18.19</v>
      </c>
      <c r="G3" s="3">
        <v>2.86</v>
      </c>
      <c r="H3" s="3">
        <v>34.0</v>
      </c>
      <c r="I3" s="3" t="s">
        <v>31</v>
      </c>
      <c r="J3" s="3" t="s">
        <v>32</v>
      </c>
      <c r="K3" s="3">
        <v>9.0</v>
      </c>
      <c r="L3" s="3" t="s">
        <v>33</v>
      </c>
      <c r="M3" s="3" t="s">
        <v>34</v>
      </c>
      <c r="N3" s="3" t="s">
        <v>26</v>
      </c>
      <c r="O3" s="3" t="s">
        <v>35</v>
      </c>
      <c r="P3" s="3" t="s">
        <v>36</v>
      </c>
      <c r="Q3" s="3">
        <v>20.0</v>
      </c>
      <c r="R3" s="4" t="str">
        <f>IFERROR(__xludf.DUMMYFUNCTION("AI(""Summarize this description using 10 words"")"),"Versatile eyeshadow palette with built-in mirror for stunning on-the-go looks.")</f>
        <v>Versatile eyeshadow palette with built-in mirror for stunning on-the-go looks.</v>
      </c>
      <c r="S3" s="4" t="str">
        <f>IFERROR(__xludf.DUMMYFUNCTION("AI(""DO A SENTIMENT ANALYSIS FOR THIS TABLE"")"),"Mixed")</f>
        <v>Mixed</v>
      </c>
    </row>
    <row r="4" ht="22.5" customHeight="1">
      <c r="A4" s="3">
        <v>3.0</v>
      </c>
      <c r="B4" s="3" t="s">
        <v>37</v>
      </c>
      <c r="C4" s="3" t="s">
        <v>38</v>
      </c>
      <c r="D4" s="3" t="s">
        <v>21</v>
      </c>
      <c r="E4" s="3">
        <v>14.99</v>
      </c>
      <c r="F4" s="3">
        <v>9.84</v>
      </c>
      <c r="G4" s="3">
        <v>4.64</v>
      </c>
      <c r="H4" s="3">
        <v>89.0</v>
      </c>
      <c r="I4" s="3" t="s">
        <v>39</v>
      </c>
      <c r="J4" s="3" t="s">
        <v>40</v>
      </c>
      <c r="K4" s="3">
        <v>8.0</v>
      </c>
      <c r="L4" s="3" t="s">
        <v>41</v>
      </c>
      <c r="M4" s="3" t="s">
        <v>42</v>
      </c>
      <c r="N4" s="3" t="s">
        <v>26</v>
      </c>
      <c r="O4" s="3" t="s">
        <v>43</v>
      </c>
      <c r="P4" s="3" t="s">
        <v>28</v>
      </c>
      <c r="Q4" s="3">
        <v>22.0</v>
      </c>
      <c r="R4" s="4" t="str">
        <f>IFERROR(__xludf.DUMMYFUNCTION("AI(""Summarize this description using 10 words"")"),"Lightweight translucent setting powder for a smooth and matte finish.")</f>
        <v>Lightweight translucent setting powder for a smooth and matte finish.</v>
      </c>
      <c r="S4" s="4" t="str">
        <f>IFERROR(__xludf.DUMMYFUNCTION("AI(""DO A SENTIMENT ANALYSIS FOR THIS TABLE"")"),"Mixed")</f>
        <v>Mixed</v>
      </c>
    </row>
    <row r="5" ht="22.5" customHeight="1">
      <c r="A5" s="3">
        <v>4.0</v>
      </c>
      <c r="B5" s="3" t="s">
        <v>44</v>
      </c>
      <c r="C5" s="3" t="s">
        <v>45</v>
      </c>
      <c r="D5" s="3" t="s">
        <v>21</v>
      </c>
      <c r="E5" s="3">
        <v>12.99</v>
      </c>
      <c r="F5" s="3">
        <v>12.16</v>
      </c>
      <c r="G5" s="3">
        <v>4.36</v>
      </c>
      <c r="H5" s="3">
        <v>91.0</v>
      </c>
      <c r="I5" s="3" t="s">
        <v>46</v>
      </c>
      <c r="J5" s="3" t="s">
        <v>47</v>
      </c>
      <c r="K5" s="3">
        <v>1.0</v>
      </c>
      <c r="L5" s="3" t="s">
        <v>48</v>
      </c>
      <c r="M5" s="3" t="s">
        <v>49</v>
      </c>
      <c r="N5" s="3" t="s">
        <v>26</v>
      </c>
      <c r="O5" s="3" t="s">
        <v>50</v>
      </c>
      <c r="P5" s="3" t="s">
        <v>36</v>
      </c>
      <c r="Q5" s="3">
        <v>40.0</v>
      </c>
      <c r="R5" s="4" t="str">
        <f>IFERROR(__xludf.DUMMYFUNCTION("AI(""Summarize this description using 10 words"")"),"Classic, bold red lipstick with creamy formula for vibrant finish.")</f>
        <v>Classic, bold red lipstick with creamy formula for vibrant finish.</v>
      </c>
      <c r="S5" s="4" t="str">
        <f>IFERROR(__xludf.DUMMYFUNCTION("AI(""DO A SENTIMENT ANALYSIS FOR THIS TABLE"")"),"Positive")</f>
        <v>Positive</v>
      </c>
    </row>
    <row r="6" ht="22.5" customHeight="1">
      <c r="A6" s="3">
        <v>5.0</v>
      </c>
      <c r="B6" s="3" t="s">
        <v>51</v>
      </c>
      <c r="C6" s="3" t="s">
        <v>52</v>
      </c>
      <c r="D6" s="3" t="s">
        <v>21</v>
      </c>
      <c r="E6" s="3">
        <v>8.99</v>
      </c>
      <c r="F6" s="3">
        <v>11.44</v>
      </c>
      <c r="G6" s="3">
        <v>4.32</v>
      </c>
      <c r="H6" s="3">
        <v>79.0</v>
      </c>
      <c r="I6" s="3" t="s">
        <v>53</v>
      </c>
      <c r="J6" s="3" t="s">
        <v>54</v>
      </c>
      <c r="K6" s="3">
        <v>8.0</v>
      </c>
      <c r="L6" s="3" t="s">
        <v>55</v>
      </c>
      <c r="M6" s="3" t="s">
        <v>56</v>
      </c>
      <c r="N6" s="3" t="s">
        <v>26</v>
      </c>
      <c r="O6" s="3" t="s">
        <v>57</v>
      </c>
      <c r="P6" s="3" t="s">
        <v>28</v>
      </c>
      <c r="Q6" s="3">
        <v>22.0</v>
      </c>
      <c r="R6" s="4" t="str">
        <f>IFERROR(__xludf.DUMMYFUNCTION("AI(""Summarize this description using 10 words"")"),"Rich glossy red polish for vibrant salon-quality nails at home.")</f>
        <v>Rich glossy red polish for vibrant salon-quality nails at home.</v>
      </c>
      <c r="S6" s="4" t="str">
        <f>IFERROR(__xludf.DUMMYFUNCTION("AI(""DO A SENTIMENT ANALYSIS FOR THIS TABLE"")"),"Negative")</f>
        <v>Negative</v>
      </c>
    </row>
    <row r="7" ht="22.5" customHeight="1">
      <c r="A7" s="3">
        <v>6.0</v>
      </c>
      <c r="B7" s="3" t="s">
        <v>58</v>
      </c>
      <c r="C7" s="3" t="s">
        <v>59</v>
      </c>
      <c r="D7" s="3" t="s">
        <v>60</v>
      </c>
      <c r="E7" s="3">
        <v>49.99</v>
      </c>
      <c r="F7" s="3">
        <v>1.89</v>
      </c>
      <c r="G7" s="3">
        <v>4.37</v>
      </c>
      <c r="H7" s="3">
        <v>29.0</v>
      </c>
      <c r="I7" s="3" t="s">
        <v>61</v>
      </c>
      <c r="J7" s="3" t="s">
        <v>62</v>
      </c>
      <c r="K7" s="3">
        <v>7.0</v>
      </c>
      <c r="L7" s="3" t="s">
        <v>24</v>
      </c>
      <c r="M7" s="3" t="s">
        <v>56</v>
      </c>
      <c r="N7" s="3" t="s">
        <v>26</v>
      </c>
      <c r="O7" s="3" t="s">
        <v>63</v>
      </c>
      <c r="P7" s="3" t="s">
        <v>64</v>
      </c>
      <c r="Q7" s="3">
        <v>9.0</v>
      </c>
      <c r="R7" s="4" t="str">
        <f>IFERROR(__xludf.DUMMYFUNCTION("AI(""Summarize this description using 10 words"")"),"Classic unisex fragrance known for its fresh, clean, everyday scent.")</f>
        <v>Classic unisex fragrance known for its fresh, clean, everyday scent.</v>
      </c>
      <c r="S7" s="4" t="str">
        <f>IFERROR(__xludf.DUMMYFUNCTION("AI(""DO A SENTIMENT ANALYSIS FOR THIS TABLE"")"),"Mixed")</f>
        <v>Mixed</v>
      </c>
    </row>
    <row r="8" ht="22.5" customHeight="1">
      <c r="A8" s="3">
        <v>7.0</v>
      </c>
      <c r="B8" s="3" t="s">
        <v>65</v>
      </c>
      <c r="C8" s="3" t="s">
        <v>66</v>
      </c>
      <c r="D8" s="3" t="s">
        <v>60</v>
      </c>
      <c r="E8" s="3">
        <v>129.99</v>
      </c>
      <c r="F8" s="3">
        <v>16.51</v>
      </c>
      <c r="G8" s="3">
        <v>4.26</v>
      </c>
      <c r="H8" s="3">
        <v>58.0</v>
      </c>
      <c r="I8" s="3" t="s">
        <v>61</v>
      </c>
      <c r="J8" s="3" t="s">
        <v>67</v>
      </c>
      <c r="K8" s="3">
        <v>7.0</v>
      </c>
      <c r="L8" s="3" t="s">
        <v>48</v>
      </c>
      <c r="M8" s="3" t="s">
        <v>56</v>
      </c>
      <c r="N8" s="3" t="s">
        <v>26</v>
      </c>
      <c r="O8" s="3" t="s">
        <v>68</v>
      </c>
      <c r="P8" s="3" t="s">
        <v>28</v>
      </c>
      <c r="Q8" s="3">
        <v>1.0</v>
      </c>
      <c r="R8" s="4" t="str">
        <f>IFERROR(__xludf.DUMMYFUNCTION("AI(""Summarize this description using 10 words"")"),"Elegant mysterious evening fragrance featuring grapefruit, rose, and sandalwood notes.")</f>
        <v>Elegant mysterious evening fragrance featuring grapefruit, rose, and sandalwood notes.</v>
      </c>
      <c r="S8" s="4" t="str">
        <f>IFERROR(__xludf.DUMMYFUNCTION("AI(""DO A SENTIMENT ANALYSIS FOR THIS TABLE"")"),"Positive")</f>
        <v>Positive</v>
      </c>
    </row>
    <row r="9" ht="22.5" customHeight="1">
      <c r="A9" s="3">
        <v>8.0</v>
      </c>
      <c r="B9" s="3" t="s">
        <v>69</v>
      </c>
      <c r="C9" s="3" t="s">
        <v>70</v>
      </c>
      <c r="D9" s="3" t="s">
        <v>60</v>
      </c>
      <c r="E9" s="3">
        <v>89.99</v>
      </c>
      <c r="F9" s="3">
        <v>14.72</v>
      </c>
      <c r="G9" s="3">
        <v>3.8</v>
      </c>
      <c r="H9" s="3">
        <v>98.0</v>
      </c>
      <c r="I9" s="3" t="s">
        <v>61</v>
      </c>
      <c r="J9" s="3" t="s">
        <v>71</v>
      </c>
      <c r="K9" s="3">
        <v>4.0</v>
      </c>
      <c r="L9" s="3" t="s">
        <v>24</v>
      </c>
      <c r="M9" s="3" t="s">
        <v>34</v>
      </c>
      <c r="N9" s="3" t="s">
        <v>26</v>
      </c>
      <c r="O9" s="3" t="s">
        <v>72</v>
      </c>
      <c r="P9" s="3" t="s">
        <v>36</v>
      </c>
      <c r="Q9" s="3">
        <v>10.0</v>
      </c>
      <c r="R9" s="4" t="str">
        <f>IFERROR(__xludf.DUMMYFUNCTION("AI(""Summarize this description using 10 words"")"),"Luxurious floral fragrance featuring ylang-ylang, rose, and jasmine for sophistication.")</f>
        <v>Luxurious floral fragrance featuring ylang-ylang, rose, and jasmine for sophistication.</v>
      </c>
      <c r="S9" s="4" t="str">
        <f>IFERROR(__xludf.DUMMYFUNCTION("AI(""DO A SENTIMENT ANALYSIS FOR THIS TABLE"")"),"Positive")</f>
        <v>Positive</v>
      </c>
    </row>
    <row r="10" ht="22.5" customHeight="1">
      <c r="A10" s="3">
        <v>9.0</v>
      </c>
      <c r="B10" s="3" t="s">
        <v>73</v>
      </c>
      <c r="C10" s="3" t="s">
        <v>74</v>
      </c>
      <c r="D10" s="3" t="s">
        <v>60</v>
      </c>
      <c r="E10" s="3">
        <v>69.99</v>
      </c>
      <c r="F10" s="3">
        <v>0.62</v>
      </c>
      <c r="G10" s="3">
        <v>3.96</v>
      </c>
      <c r="H10" s="3">
        <v>4.0</v>
      </c>
      <c r="I10" s="3" t="s">
        <v>61</v>
      </c>
      <c r="J10" s="3" t="s">
        <v>75</v>
      </c>
      <c r="K10" s="3">
        <v>6.0</v>
      </c>
      <c r="L10" s="3" t="s">
        <v>48</v>
      </c>
      <c r="M10" s="3" t="s">
        <v>76</v>
      </c>
      <c r="N10" s="3" t="s">
        <v>77</v>
      </c>
      <c r="O10" s="3" t="s">
        <v>78</v>
      </c>
      <c r="P10" s="3" t="s">
        <v>36</v>
      </c>
      <c r="Q10" s="3">
        <v>2.0</v>
      </c>
      <c r="R10" s="4" t="str">
        <f>IFERROR(__xludf.DUMMYFUNCTION("AI(""Summarize this description using 10 words"")"),"Vibrant fruity fragrance with mango and jasmine, joyful youthful scent.")</f>
        <v>Vibrant fruity fragrance with mango and jasmine, joyful youthful scent.</v>
      </c>
      <c r="S10" s="4" t="str">
        <f>IFERROR(__xludf.DUMMYFUNCTION("AI(""DO A SENTIMENT ANALYSIS FOR THIS TABLE"")"),"Positive")</f>
        <v>Positive</v>
      </c>
    </row>
    <row r="11" ht="22.5" customHeight="1">
      <c r="A11" s="3">
        <v>10.0</v>
      </c>
      <c r="B11" s="3" t="s">
        <v>79</v>
      </c>
      <c r="C11" s="3" t="s">
        <v>80</v>
      </c>
      <c r="D11" s="3" t="s">
        <v>60</v>
      </c>
      <c r="E11" s="3">
        <v>79.99</v>
      </c>
      <c r="F11" s="3">
        <v>14.39</v>
      </c>
      <c r="G11" s="3">
        <v>2.74</v>
      </c>
      <c r="H11" s="3">
        <v>91.0</v>
      </c>
      <c r="I11" s="3" t="s">
        <v>61</v>
      </c>
      <c r="J11" s="3" t="s">
        <v>81</v>
      </c>
      <c r="K11" s="3">
        <v>7.0</v>
      </c>
      <c r="L11" s="3" t="s">
        <v>82</v>
      </c>
      <c r="M11" s="3" t="s">
        <v>56</v>
      </c>
      <c r="N11" s="3" t="s">
        <v>26</v>
      </c>
      <c r="O11" s="3" t="s">
        <v>83</v>
      </c>
      <c r="P11" s="3" t="s">
        <v>28</v>
      </c>
      <c r="Q11" s="3">
        <v>2.0</v>
      </c>
      <c r="R11" s="4" t="str">
        <f>IFERROR(__xludf.DUMMYFUNCTION("AI(""Summarize this description using 10 words"")"),"Captivating floral fragrance with notes of tuberose, jasmine, and creeper.")</f>
        <v>Captivating floral fragrance with notes of tuberose, jasmine, and creeper.</v>
      </c>
      <c r="S11" s="4" t="str">
        <f>IFERROR(__xludf.DUMMYFUNCTION("AI(""DO A SENTIMENT ANALYSIS FOR THIS TABLE"")"),"Mixed")</f>
        <v>Mixed</v>
      </c>
    </row>
    <row r="12" ht="22.5" customHeight="1">
      <c r="A12" s="3">
        <v>11.0</v>
      </c>
      <c r="B12" s="3" t="s">
        <v>84</v>
      </c>
      <c r="C12" s="3" t="s">
        <v>85</v>
      </c>
      <c r="D12" s="3" t="s">
        <v>86</v>
      </c>
      <c r="E12" s="3">
        <v>1899.99</v>
      </c>
      <c r="F12" s="3">
        <v>8.57</v>
      </c>
      <c r="G12" s="3">
        <v>4.77</v>
      </c>
      <c r="H12" s="3">
        <v>88.0</v>
      </c>
      <c r="I12" s="3" t="s">
        <v>87</v>
      </c>
      <c r="J12" s="3" t="s">
        <v>88</v>
      </c>
      <c r="K12" s="3">
        <v>10.0</v>
      </c>
      <c r="L12" s="3" t="s">
        <v>33</v>
      </c>
      <c r="M12" s="3" t="s">
        <v>76</v>
      </c>
      <c r="N12" s="3" t="s">
        <v>26</v>
      </c>
      <c r="O12" s="3" t="s">
        <v>89</v>
      </c>
      <c r="P12" s="3" t="s">
        <v>28</v>
      </c>
      <c r="Q12" s="3">
        <v>1.0</v>
      </c>
      <c r="R12" s="4" t="str">
        <f>IFERROR(__xludf.DUMMYFUNCTION("AI(""Summarize this description using 10 words"")"),"Luxurious elegant bed frame crafted with quality materials for comfort.")</f>
        <v>Luxurious elegant bed frame crafted with quality materials for comfort.</v>
      </c>
      <c r="S12" s="4" t="str">
        <f>IFERROR(__xludf.DUMMYFUNCTION("AI(""DO A SENTIMENT ANALYSIS FOR THIS TABLE"")"),"Negative")</f>
        <v>Negative</v>
      </c>
    </row>
    <row r="13" ht="22.5" customHeight="1">
      <c r="A13" s="3">
        <v>12.0</v>
      </c>
      <c r="B13" s="3" t="s">
        <v>90</v>
      </c>
      <c r="C13" s="3" t="s">
        <v>91</v>
      </c>
      <c r="D13" s="3" t="s">
        <v>86</v>
      </c>
      <c r="E13" s="3">
        <v>2499.99</v>
      </c>
      <c r="F13" s="3">
        <v>14.4</v>
      </c>
      <c r="G13" s="3">
        <v>3.92</v>
      </c>
      <c r="H13" s="3">
        <v>60.0</v>
      </c>
      <c r="I13" s="3" t="s">
        <v>92</v>
      </c>
      <c r="J13" s="3" t="s">
        <v>88</v>
      </c>
      <c r="K13" s="3">
        <v>6.0</v>
      </c>
      <c r="L13" s="3" t="s">
        <v>93</v>
      </c>
      <c r="M13" s="3" t="s">
        <v>49</v>
      </c>
      <c r="N13" s="3" t="s">
        <v>26</v>
      </c>
      <c r="O13" s="3" t="s">
        <v>94</v>
      </c>
      <c r="P13" s="3" t="s">
        <v>36</v>
      </c>
      <c r="Q13" s="3">
        <v>1.0</v>
      </c>
      <c r="R13" s="4" t="str">
        <f>IFERROR(__xludf.DUMMYFUNCTION("AI(""Summarize this description using 10 words"")"),"Sophisticated and comfortable seating with exquisite design and premium upholstery.")</f>
        <v>Sophisticated and comfortable seating with exquisite design and premium upholstery.</v>
      </c>
      <c r="S13" s="4" t="str">
        <f>IFERROR(__xludf.DUMMYFUNCTION("AI(""DO A SENTIMENT ANALYSIS FOR THIS TABLE"")"),"Mixed")</f>
        <v>Mixed</v>
      </c>
    </row>
    <row r="14" ht="22.5" customHeight="1">
      <c r="A14" s="3">
        <v>13.0</v>
      </c>
      <c r="B14" s="3" t="s">
        <v>95</v>
      </c>
      <c r="C14" s="3" t="s">
        <v>96</v>
      </c>
      <c r="D14" s="3" t="s">
        <v>86</v>
      </c>
      <c r="E14" s="3">
        <v>299.99</v>
      </c>
      <c r="F14" s="3">
        <v>19.09</v>
      </c>
      <c r="G14" s="3">
        <v>2.87</v>
      </c>
      <c r="H14" s="3">
        <v>64.0</v>
      </c>
      <c r="I14" s="3" t="s">
        <v>97</v>
      </c>
      <c r="J14" s="3" t="s">
        <v>98</v>
      </c>
      <c r="K14" s="3">
        <v>2.0</v>
      </c>
      <c r="L14" s="3" t="s">
        <v>99</v>
      </c>
      <c r="M14" s="3" t="s">
        <v>56</v>
      </c>
      <c r="N14" s="3" t="s">
        <v>26</v>
      </c>
      <c r="O14" s="3" t="s">
        <v>100</v>
      </c>
      <c r="P14" s="3" t="s">
        <v>36</v>
      </c>
      <c r="Q14" s="3">
        <v>3.0</v>
      </c>
      <c r="R14" s="4" t="str">
        <f>IFERROR(__xludf.DUMMYFUNCTION("AI(""Summarize this description using 10 words"")"),"Stylish African Cherry bedside table providing functional storage and elegance.")</f>
        <v>Stylish African Cherry bedside table providing functional storage and elegance.</v>
      </c>
      <c r="S14" s="4" t="str">
        <f>IFERROR(__xludf.DUMMYFUNCTION("AI(""DO A SENTIMENT ANALYSIS FOR THIS TABLE"")"),"Mixed")</f>
        <v>Mixed</v>
      </c>
    </row>
    <row r="15" ht="22.5" customHeight="1">
      <c r="A15" s="3">
        <v>14.0</v>
      </c>
      <c r="B15" s="3" t="s">
        <v>101</v>
      </c>
      <c r="C15" s="3" t="s">
        <v>102</v>
      </c>
      <c r="D15" s="3" t="s">
        <v>86</v>
      </c>
      <c r="E15" s="3">
        <v>499.99</v>
      </c>
      <c r="F15" s="3">
        <v>2.01</v>
      </c>
      <c r="G15" s="3">
        <v>4.88</v>
      </c>
      <c r="H15" s="3">
        <v>26.0</v>
      </c>
      <c r="I15" s="3" t="s">
        <v>103</v>
      </c>
      <c r="J15" s="3" t="s">
        <v>104</v>
      </c>
      <c r="K15" s="3">
        <v>10.0</v>
      </c>
      <c r="L15" s="3" t="s">
        <v>105</v>
      </c>
      <c r="M15" s="3" t="s">
        <v>56</v>
      </c>
      <c r="N15" s="3" t="s">
        <v>26</v>
      </c>
      <c r="O15" s="3" t="s">
        <v>106</v>
      </c>
      <c r="P15" s="3" t="s">
        <v>107</v>
      </c>
      <c r="Q15" s="3">
        <v>5.0</v>
      </c>
      <c r="R15" s="4" t="str">
        <f>IFERROR(__xludf.DUMMYFUNCTION("AI(""Summarize this description using 10 words"")"),"Modern, ergonomic conference chair with a timeless and office-perfect design.")</f>
        <v>Modern, ergonomic conference chair with a timeless and office-perfect design.</v>
      </c>
      <c r="S15" s="4" t="str">
        <f>IFERROR(__xludf.DUMMYFUNCTION("AI(""DO A SENTIMENT ANALYSIS FOR THIS TABLE"")"),"Mixed")</f>
        <v>Mixed</v>
      </c>
    </row>
    <row r="16" ht="22.5" customHeight="1">
      <c r="A16" s="3">
        <v>15.0</v>
      </c>
      <c r="B16" s="3" t="s">
        <v>108</v>
      </c>
      <c r="C16" s="3" t="s">
        <v>109</v>
      </c>
      <c r="D16" s="3" t="s">
        <v>86</v>
      </c>
      <c r="E16" s="3">
        <v>799.99</v>
      </c>
      <c r="F16" s="3">
        <v>8.8</v>
      </c>
      <c r="G16" s="3">
        <v>3.59</v>
      </c>
      <c r="H16" s="3">
        <v>7.0</v>
      </c>
      <c r="I16" s="3" t="s">
        <v>110</v>
      </c>
      <c r="J16" s="3" t="s">
        <v>111</v>
      </c>
      <c r="K16" s="3">
        <v>10.0</v>
      </c>
      <c r="L16" s="3" t="s">
        <v>48</v>
      </c>
      <c r="M16" s="3" t="s">
        <v>25</v>
      </c>
      <c r="N16" s="3" t="s">
        <v>77</v>
      </c>
      <c r="O16" s="3" t="s">
        <v>112</v>
      </c>
      <c r="P16" s="3" t="s">
        <v>107</v>
      </c>
      <c r="Q16" s="3">
        <v>2.0</v>
      </c>
      <c r="R16" s="4" t="str">
        <f>IFERROR(__xludf.DUMMYFUNCTION("AI(""Summarize this description using 10 words"")"),"Unique, stylish wooden bathroom sink with matching mirror and countertop.")</f>
        <v>Unique, stylish wooden bathroom sink with matching mirror and countertop.</v>
      </c>
      <c r="S16" s="4" t="str">
        <f>IFERROR(__xludf.DUMMYFUNCTION("AI(""DO A SENTIMENT ANALYSIS FOR THIS TABLE"")"),"Mixed")</f>
        <v>Mixed</v>
      </c>
    </row>
    <row r="17" ht="22.5" customHeight="1">
      <c r="A17" s="3">
        <v>16.0</v>
      </c>
      <c r="B17" s="3" t="s">
        <v>113</v>
      </c>
      <c r="C17" s="3" t="s">
        <v>114</v>
      </c>
      <c r="D17" s="3" t="s">
        <v>115</v>
      </c>
      <c r="E17" s="3">
        <v>1.99</v>
      </c>
      <c r="F17" s="3">
        <v>12.62</v>
      </c>
      <c r="G17" s="3">
        <v>4.19</v>
      </c>
      <c r="H17" s="3">
        <v>8.0</v>
      </c>
      <c r="I17" s="3" t="s">
        <v>116</v>
      </c>
      <c r="K17" s="3">
        <v>9.0</v>
      </c>
      <c r="L17" s="3" t="s">
        <v>48</v>
      </c>
      <c r="M17" s="3" t="s">
        <v>34</v>
      </c>
      <c r="N17" s="3" t="s">
        <v>26</v>
      </c>
      <c r="O17" s="3" t="s">
        <v>117</v>
      </c>
      <c r="P17" s="3" t="s">
        <v>64</v>
      </c>
      <c r="Q17" s="3">
        <v>7.0</v>
      </c>
      <c r="R17" s="4" t="str">
        <f>IFERROR(__xludf.DUMMYFUNCTION("AI(""Summarize this description using 10 words"")"),"Fresh and crisp apples for snacking or using in recipes.")</f>
        <v>Fresh and crisp apples for snacking or using in recipes.</v>
      </c>
      <c r="S17" s="4" t="str">
        <f>IFERROR(__xludf.DUMMYFUNCTION("AI(""DO A SENTIMENT ANALYSIS FOR THIS TABLE"")"),"Mixed")</f>
        <v>Mixed</v>
      </c>
    </row>
    <row r="18" ht="22.5" customHeight="1">
      <c r="A18" s="3">
        <v>17.0</v>
      </c>
      <c r="B18" s="3" t="s">
        <v>118</v>
      </c>
      <c r="C18" s="3" t="s">
        <v>119</v>
      </c>
      <c r="D18" s="3" t="s">
        <v>115</v>
      </c>
      <c r="E18" s="3">
        <v>12.99</v>
      </c>
      <c r="F18" s="3">
        <v>9.61</v>
      </c>
      <c r="G18" s="3">
        <v>4.47</v>
      </c>
      <c r="H18" s="3">
        <v>86.0</v>
      </c>
      <c r="I18" s="3" t="s">
        <v>120</v>
      </c>
      <c r="K18" s="3">
        <v>10.0</v>
      </c>
      <c r="L18" s="3" t="s">
        <v>48</v>
      </c>
      <c r="M18" s="3" t="s">
        <v>56</v>
      </c>
      <c r="N18" s="3" t="s">
        <v>26</v>
      </c>
      <c r="O18" s="3" t="s">
        <v>121</v>
      </c>
      <c r="P18" s="3" t="s">
        <v>107</v>
      </c>
      <c r="Q18" s="3">
        <v>43.0</v>
      </c>
      <c r="R18" s="4" t="str">
        <f>IFERROR(__xludf.DUMMYFUNCTION("AI(""Summarize this description using 10 words"")"),"Premium beef steak ideal for grilling or cooking as desired.")</f>
        <v>Premium beef steak ideal for grilling or cooking as desired.</v>
      </c>
      <c r="S18" s="4" t="str">
        <f>IFERROR(__xludf.DUMMYFUNCTION("AI(""DO A SENTIMENT ANALYSIS FOR THIS TABLE"")"),"Mixed")</f>
        <v>Mixed</v>
      </c>
    </row>
    <row r="19" ht="22.5" customHeight="1">
      <c r="A19" s="3">
        <v>18.0</v>
      </c>
      <c r="B19" s="3" t="s">
        <v>122</v>
      </c>
      <c r="C19" s="3" t="s">
        <v>123</v>
      </c>
      <c r="D19" s="3" t="s">
        <v>115</v>
      </c>
      <c r="E19" s="3">
        <v>8.99</v>
      </c>
      <c r="F19" s="3">
        <v>9.58</v>
      </c>
      <c r="G19" s="3">
        <v>3.13</v>
      </c>
      <c r="H19" s="3">
        <v>46.0</v>
      </c>
      <c r="I19" s="3" t="s">
        <v>124</v>
      </c>
      <c r="K19" s="3">
        <v>10.0</v>
      </c>
      <c r="L19" s="3" t="s">
        <v>33</v>
      </c>
      <c r="M19" s="3" t="s">
        <v>56</v>
      </c>
      <c r="N19" s="3" t="s">
        <v>26</v>
      </c>
      <c r="O19" s="3" t="s">
        <v>125</v>
      </c>
      <c r="P19" s="3" t="s">
        <v>28</v>
      </c>
      <c r="Q19" s="3">
        <v>18.0</v>
      </c>
      <c r="R19" s="4" t="str">
        <f>IFERROR(__xludf.DUMMYFUNCTION("AI(""Summarize this description using 10 words"")"),"Nutritious cat food formulated for your feline friend's dietary needs.")</f>
        <v>Nutritious cat food formulated for your feline friend's dietary needs.</v>
      </c>
      <c r="S19" s="4" t="str">
        <f>IFERROR(__xludf.DUMMYFUNCTION("AI(""DO A SENTIMENT ANALYSIS FOR THIS TABLE"")"),"Negative")</f>
        <v>Negative</v>
      </c>
    </row>
    <row r="20" ht="22.5" customHeight="1">
      <c r="A20" s="3">
        <v>19.0</v>
      </c>
      <c r="B20" s="3" t="s">
        <v>126</v>
      </c>
      <c r="C20" s="3" t="s">
        <v>127</v>
      </c>
      <c r="D20" s="3" t="s">
        <v>115</v>
      </c>
      <c r="E20" s="3">
        <v>9.99</v>
      </c>
      <c r="F20" s="3">
        <v>13.7</v>
      </c>
      <c r="G20" s="3">
        <v>3.19</v>
      </c>
      <c r="H20" s="3">
        <v>97.0</v>
      </c>
      <c r="I20" s="3" t="s">
        <v>120</v>
      </c>
      <c r="K20" s="3">
        <v>1.0</v>
      </c>
      <c r="L20" s="3" t="s">
        <v>33</v>
      </c>
      <c r="M20" s="3" t="s">
        <v>76</v>
      </c>
      <c r="N20" s="3" t="s">
        <v>26</v>
      </c>
      <c r="O20" s="3" t="s">
        <v>128</v>
      </c>
      <c r="P20" s="3" t="s">
        <v>36</v>
      </c>
      <c r="Q20" s="3">
        <v>22.0</v>
      </c>
      <c r="R20" s="4" t="str">
        <f>IFERROR(__xludf.DUMMYFUNCTION("AI(""Summarize this description using 10 words"")"),"Fresh and tender chicken meat suitable for various culinary preparations.")</f>
        <v>Fresh and tender chicken meat suitable for various culinary preparations.</v>
      </c>
      <c r="S20" s="4" t="str">
        <f>IFERROR(__xludf.DUMMYFUNCTION("AI(""DO A SENTIMENT ANALYSIS FOR THIS TABLE"")"),"Positive")</f>
        <v>Positive</v>
      </c>
    </row>
    <row r="21" ht="22.5" customHeight="1">
      <c r="A21" s="3">
        <v>20.0</v>
      </c>
      <c r="B21" s="3" t="s">
        <v>129</v>
      </c>
      <c r="C21" s="3" t="s">
        <v>130</v>
      </c>
      <c r="D21" s="3" t="s">
        <v>115</v>
      </c>
      <c r="E21" s="3">
        <v>4.99</v>
      </c>
      <c r="F21" s="3">
        <v>9.33</v>
      </c>
      <c r="G21" s="3">
        <v>4.8</v>
      </c>
      <c r="H21" s="3">
        <v>10.0</v>
      </c>
      <c r="I21" s="3" t="s">
        <v>131</v>
      </c>
      <c r="K21" s="3">
        <v>5.0</v>
      </c>
      <c r="L21" s="3" t="s">
        <v>93</v>
      </c>
      <c r="M21" s="3" t="s">
        <v>42</v>
      </c>
      <c r="N21" s="3" t="s">
        <v>26</v>
      </c>
      <c r="O21" s="3" t="s">
        <v>132</v>
      </c>
      <c r="P21" s="3" t="s">
        <v>133</v>
      </c>
      <c r="Q21" s="3">
        <v>46.0</v>
      </c>
      <c r="R21" s="4" t="str">
        <f>IFERROR(__xludf.DUMMYFUNCTION("AI(""Summarize this description using 10 words"")"),"Versatile cooking oil for frying, sautéing, and various culinary applications.")</f>
        <v>Versatile cooking oil for frying, sautéing, and various culinary applications.</v>
      </c>
      <c r="S21" s="4" t="str">
        <f>IFERROR(__xludf.DUMMYFUNCTION("AI(""DO A SENTIMENT ANALYSIS FOR THIS TABLE"")"),"Positive")</f>
        <v>Positive</v>
      </c>
    </row>
    <row r="22" ht="22.5" customHeight="1">
      <c r="A22" s="3">
        <v>21.0</v>
      </c>
      <c r="B22" s="3" t="s">
        <v>134</v>
      </c>
      <c r="C22" s="3" t="s">
        <v>135</v>
      </c>
      <c r="D22" s="3" t="s">
        <v>115</v>
      </c>
      <c r="E22" s="3">
        <v>1.49</v>
      </c>
      <c r="F22" s="3">
        <v>0.16</v>
      </c>
      <c r="G22" s="3">
        <v>4.07</v>
      </c>
      <c r="H22" s="3">
        <v>84.0</v>
      </c>
      <c r="I22" s="3" t="s">
        <v>136</v>
      </c>
      <c r="K22" s="3">
        <v>4.0</v>
      </c>
      <c r="L22" s="3" t="s">
        <v>105</v>
      </c>
      <c r="M22" s="3" t="s">
        <v>42</v>
      </c>
      <c r="N22" s="3" t="s">
        <v>26</v>
      </c>
      <c r="O22" s="3" t="s">
        <v>137</v>
      </c>
      <c r="P22" s="3" t="s">
        <v>36</v>
      </c>
      <c r="Q22" s="3">
        <v>2.0</v>
      </c>
      <c r="R22" s="4" t="str">
        <f>IFERROR(__xludf.DUMMYFUNCTION("AI(""Summarize this description using 10 words"")"),"Crisp, hydrating cucumbers perfect for salads, snacks, or refreshing sides.")</f>
        <v>Crisp, hydrating cucumbers perfect for salads, snacks, or refreshing sides.</v>
      </c>
      <c r="S22" s="4" t="str">
        <f>IFERROR(__xludf.DUMMYFUNCTION("AI(""DO A SENTIMENT ANALYSIS FOR THIS TABLE"")"),"Mixed")</f>
        <v>Mixed</v>
      </c>
    </row>
    <row r="23" ht="22.5" customHeight="1">
      <c r="A23" s="3">
        <v>22.0</v>
      </c>
      <c r="B23" s="3" t="s">
        <v>138</v>
      </c>
      <c r="C23" s="3" t="s">
        <v>139</v>
      </c>
      <c r="D23" s="3" t="s">
        <v>115</v>
      </c>
      <c r="E23" s="3">
        <v>10.99</v>
      </c>
      <c r="F23" s="3">
        <v>10.27</v>
      </c>
      <c r="G23" s="3">
        <v>4.55</v>
      </c>
      <c r="H23" s="3">
        <v>71.0</v>
      </c>
      <c r="I23" s="3" t="s">
        <v>140</v>
      </c>
      <c r="K23" s="3">
        <v>10.0</v>
      </c>
      <c r="L23" s="3" t="s">
        <v>141</v>
      </c>
      <c r="M23" s="3" t="s">
        <v>42</v>
      </c>
      <c r="N23" s="3" t="s">
        <v>26</v>
      </c>
      <c r="O23" s="3" t="s">
        <v>142</v>
      </c>
      <c r="P23" s="3" t="s">
        <v>107</v>
      </c>
      <c r="Q23" s="3">
        <v>43.0</v>
      </c>
      <c r="R23" s="4" t="str">
        <f>IFERROR(__xludf.DUMMYFUNCTION("AI(""Summarize this description using 10 words"")"),"Nutritious dog food formulated with essential nutrients for your companion.")</f>
        <v>Nutritious dog food formulated with essential nutrients for your companion.</v>
      </c>
      <c r="S23" s="4" t="str">
        <f>IFERROR(__xludf.DUMMYFUNCTION("AI(""DO A SENTIMENT ANALYSIS FOR THIS TABLE"")"),"Positive")</f>
        <v>Positive</v>
      </c>
    </row>
    <row r="24" ht="22.5" customHeight="1">
      <c r="A24" s="3">
        <v>23.0</v>
      </c>
      <c r="B24" s="3" t="s">
        <v>143</v>
      </c>
      <c r="C24" s="3" t="s">
        <v>144</v>
      </c>
      <c r="D24" s="3" t="s">
        <v>115</v>
      </c>
      <c r="E24" s="3">
        <v>2.99</v>
      </c>
      <c r="F24" s="3">
        <v>11.05</v>
      </c>
      <c r="G24" s="3">
        <v>2.53</v>
      </c>
      <c r="H24" s="3">
        <v>9.0</v>
      </c>
      <c r="I24" s="3" t="s">
        <v>145</v>
      </c>
      <c r="K24" s="3">
        <v>2.0</v>
      </c>
      <c r="L24" s="3" t="s">
        <v>24</v>
      </c>
      <c r="M24" s="3" t="s">
        <v>49</v>
      </c>
      <c r="N24" s="3" t="s">
        <v>26</v>
      </c>
      <c r="O24" s="3" t="s">
        <v>146</v>
      </c>
      <c r="P24" s="3" t="s">
        <v>28</v>
      </c>
      <c r="Q24" s="3">
        <v>32.0</v>
      </c>
      <c r="R24" s="4" t="str">
        <f>IFERROR(__xludf.DUMMYFUNCTION("AI(""Summarize this description using 10 words"")"),"Fresh and versatile eggs for baking, cooking, or daily breakfast.")</f>
        <v>Fresh and versatile eggs for baking, cooking, or daily breakfast.</v>
      </c>
      <c r="S24" s="4" t="str">
        <f>IFERROR(__xludf.DUMMYFUNCTION("AI(""DO A SENTIMENT ANALYSIS FOR THIS TABLE"")"),"Mixed")</f>
        <v>Mixed</v>
      </c>
    </row>
    <row r="25" ht="22.5" customHeight="1">
      <c r="A25" s="3">
        <v>24.0</v>
      </c>
      <c r="B25" s="3" t="s">
        <v>147</v>
      </c>
      <c r="C25" s="3" t="s">
        <v>148</v>
      </c>
      <c r="D25" s="3" t="s">
        <v>115</v>
      </c>
      <c r="E25" s="3">
        <v>14.99</v>
      </c>
      <c r="F25" s="3">
        <v>4.23</v>
      </c>
      <c r="G25" s="3">
        <v>3.78</v>
      </c>
      <c r="H25" s="3">
        <v>74.0</v>
      </c>
      <c r="I25" s="3" t="s">
        <v>149</v>
      </c>
      <c r="K25" s="3">
        <v>6.0</v>
      </c>
      <c r="L25" s="3" t="s">
        <v>55</v>
      </c>
      <c r="M25" s="3" t="s">
        <v>25</v>
      </c>
      <c r="N25" s="3" t="s">
        <v>26</v>
      </c>
      <c r="O25" s="3" t="s">
        <v>150</v>
      </c>
      <c r="P25" s="3" t="s">
        <v>107</v>
      </c>
      <c r="Q25" s="3">
        <v>50.0</v>
      </c>
      <c r="R25" s="4" t="str">
        <f>IFERROR(__xludf.DUMMYFUNCTION("AI(""Summarize this description using 10 words"")"),"Quality fish steak suitable for grilling, baking, or pan-searing recipes.")</f>
        <v>Quality fish steak suitable for grilling, baking, or pan-searing recipes.</v>
      </c>
      <c r="S25" s="4" t="str">
        <f>IFERROR(__xludf.DUMMYFUNCTION("AI(""DO A SENTIMENT ANALYSIS FOR THIS TABLE"")"),"Mixed")</f>
        <v>Mixed</v>
      </c>
    </row>
    <row r="26" ht="22.5" customHeight="1">
      <c r="A26" s="3">
        <v>25.0</v>
      </c>
      <c r="B26" s="3" t="s">
        <v>151</v>
      </c>
      <c r="C26" s="3" t="s">
        <v>152</v>
      </c>
      <c r="D26" s="3" t="s">
        <v>115</v>
      </c>
      <c r="E26" s="3">
        <v>1.29</v>
      </c>
      <c r="F26" s="3">
        <v>0.16</v>
      </c>
      <c r="G26" s="3">
        <v>3.25</v>
      </c>
      <c r="H26" s="3">
        <v>33.0</v>
      </c>
      <c r="I26" s="3" t="s">
        <v>136</v>
      </c>
      <c r="K26" s="3">
        <v>2.0</v>
      </c>
      <c r="L26" s="3" t="s">
        <v>55</v>
      </c>
      <c r="M26" s="3" t="s">
        <v>49</v>
      </c>
      <c r="N26" s="3" t="s">
        <v>26</v>
      </c>
      <c r="O26" s="3" t="s">
        <v>153</v>
      </c>
      <c r="P26" s="3" t="s">
        <v>133</v>
      </c>
      <c r="Q26" s="3">
        <v>12.0</v>
      </c>
      <c r="R26" s="4" t="str">
        <f>IFERROR(__xludf.DUMMYFUNCTION("AI(""Summarize this description using 10 words"")"),"Vibrant green bell pepper adds fresh color and flavor to dishes.")</f>
        <v>Vibrant green bell pepper adds fresh color and flavor to dishes.</v>
      </c>
      <c r="S26" s="4" t="str">
        <f>IFERROR(__xludf.DUMMYFUNCTION("AI(""DO A SENTIMENT ANALYSIS FOR THIS TABLE"")"),"Positive")</f>
        <v>Positive</v>
      </c>
    </row>
    <row r="27" ht="22.5" customHeight="1">
      <c r="A27" s="3">
        <v>26.0</v>
      </c>
      <c r="B27" s="3" t="s">
        <v>154</v>
      </c>
      <c r="C27" s="3" t="s">
        <v>155</v>
      </c>
      <c r="D27" s="3" t="s">
        <v>115</v>
      </c>
      <c r="E27" s="3">
        <v>0.99</v>
      </c>
      <c r="F27" s="3">
        <v>1.0</v>
      </c>
      <c r="G27" s="3">
        <v>3.66</v>
      </c>
      <c r="H27" s="3">
        <v>3.0</v>
      </c>
      <c r="I27" s="3" t="s">
        <v>136</v>
      </c>
      <c r="K27" s="3">
        <v>7.0</v>
      </c>
      <c r="L27" s="3" t="s">
        <v>105</v>
      </c>
      <c r="M27" s="3" t="s">
        <v>49</v>
      </c>
      <c r="N27" s="3" t="s">
        <v>77</v>
      </c>
      <c r="O27" s="3" t="s">
        <v>156</v>
      </c>
      <c r="P27" s="3" t="s">
        <v>133</v>
      </c>
      <c r="Q27" s="3">
        <v>39.0</v>
      </c>
      <c r="R27" s="4" t="str">
        <f>IFERROR(__xludf.DUMMYFUNCTION("AI(""Summarize this description using 10 words"")"),"Spicy green chili pepper ideal for adding heat to recipes.")</f>
        <v>Spicy green chili pepper ideal for adding heat to recipes.</v>
      </c>
      <c r="S27" s="4" t="str">
        <f>IFERROR(__xludf.DUMMYFUNCTION("AI(""DO A SENTIMENT ANALYSIS FOR THIS TABLE"")"),"Mixed")</f>
        <v>Mixed</v>
      </c>
    </row>
    <row r="28" ht="22.5" customHeight="1">
      <c r="A28" s="3">
        <v>27.0</v>
      </c>
      <c r="B28" s="3" t="s">
        <v>157</v>
      </c>
      <c r="C28" s="3" t="s">
        <v>158</v>
      </c>
      <c r="D28" s="3" t="s">
        <v>115</v>
      </c>
      <c r="E28" s="3">
        <v>6.99</v>
      </c>
      <c r="F28" s="3">
        <v>14.4</v>
      </c>
      <c r="G28" s="3">
        <v>3.97</v>
      </c>
      <c r="H28" s="3">
        <v>34.0</v>
      </c>
      <c r="I28" s="3" t="s">
        <v>159</v>
      </c>
      <c r="K28" s="3">
        <v>2.0</v>
      </c>
      <c r="L28" s="3" t="s">
        <v>55</v>
      </c>
      <c r="M28" s="3" t="s">
        <v>42</v>
      </c>
      <c r="N28" s="3" t="s">
        <v>26</v>
      </c>
      <c r="O28" s="3" t="s">
        <v>160</v>
      </c>
      <c r="P28" s="3" t="s">
        <v>64</v>
      </c>
      <c r="Q28" s="3">
        <v>47.0</v>
      </c>
      <c r="R28" s="4" t="str">
        <f>IFERROR(__xludf.DUMMYFUNCTION("AI(""Summarize this description using 10 words"")"),"Pure and natural honey in a jar for sweetening food.")</f>
        <v>Pure and natural honey in a jar for sweetening food.</v>
      </c>
      <c r="S28" s="4" t="str">
        <f>IFERROR(__xludf.DUMMYFUNCTION("AI(""DO A SENTIMENT ANALYSIS FOR THIS TABLE"")"),"Mixed")</f>
        <v>Mixed</v>
      </c>
    </row>
    <row r="29" ht="22.5" customHeight="1">
      <c r="A29" s="3">
        <v>28.0</v>
      </c>
      <c r="B29" s="3" t="s">
        <v>161</v>
      </c>
      <c r="C29" s="3" t="s">
        <v>162</v>
      </c>
      <c r="D29" s="3" t="s">
        <v>115</v>
      </c>
      <c r="E29" s="3">
        <v>5.49</v>
      </c>
      <c r="F29" s="3">
        <v>8.69</v>
      </c>
      <c r="G29" s="3">
        <v>3.39</v>
      </c>
      <c r="H29" s="3">
        <v>27.0</v>
      </c>
      <c r="I29" s="3" t="s">
        <v>163</v>
      </c>
      <c r="K29" s="3">
        <v>1.0</v>
      </c>
      <c r="L29" s="3" t="s">
        <v>55</v>
      </c>
      <c r="M29" s="3" t="s">
        <v>34</v>
      </c>
      <c r="N29" s="3" t="s">
        <v>26</v>
      </c>
      <c r="O29" s="3" t="s">
        <v>164</v>
      </c>
      <c r="P29" s="3" t="s">
        <v>28</v>
      </c>
      <c r="Q29" s="3">
        <v>42.0</v>
      </c>
      <c r="R29" s="4" t="str">
        <f>IFERROR(__xludf.DUMMYFUNCTION("AI(""Summarize this description using 10 words"")"),"Creamy, delicious ice cream in various flavors for a treat.")</f>
        <v>Creamy, delicious ice cream in various flavors for a treat.</v>
      </c>
      <c r="S29" s="4" t="str">
        <f>IFERROR(__xludf.DUMMYFUNCTION("AI(""DO A SENTIMENT ANALYSIS FOR THIS TABLE"")"),"Positive")</f>
        <v>Positive</v>
      </c>
    </row>
    <row r="30" ht="22.5" customHeight="1">
      <c r="A30" s="3">
        <v>29.0</v>
      </c>
      <c r="B30" s="3" t="s">
        <v>165</v>
      </c>
      <c r="C30" s="3" t="s">
        <v>166</v>
      </c>
      <c r="D30" s="3" t="s">
        <v>115</v>
      </c>
      <c r="E30" s="3">
        <v>3.99</v>
      </c>
      <c r="F30" s="3">
        <v>12.06</v>
      </c>
      <c r="G30" s="3">
        <v>3.94</v>
      </c>
      <c r="H30" s="3">
        <v>50.0</v>
      </c>
      <c r="I30" s="3" t="s">
        <v>167</v>
      </c>
      <c r="K30" s="3">
        <v>1.0</v>
      </c>
      <c r="L30" s="3" t="s">
        <v>82</v>
      </c>
      <c r="M30" s="3" t="s">
        <v>49</v>
      </c>
      <c r="N30" s="3" t="s">
        <v>26</v>
      </c>
      <c r="O30" s="3" t="s">
        <v>168</v>
      </c>
      <c r="P30" s="3" t="s">
        <v>28</v>
      </c>
      <c r="Q30" s="3">
        <v>25.0</v>
      </c>
      <c r="R30" s="4" t="str">
        <f>IFERROR(__xludf.DUMMYFUNCTION("AI(""Summarize this description using 10 words"")"),"Refreshing vitamin-packed fruit juice perfect for staying healthy and hydrated.")</f>
        <v>Refreshing vitamin-packed fruit juice perfect for staying healthy and hydrated.</v>
      </c>
      <c r="S30" s="4" t="str">
        <f>IFERROR(__xludf.DUMMYFUNCTION("AI(""DO A SENTIMENT ANALYSIS FOR THIS TABLE"")"),"Positive")</f>
        <v>Positive</v>
      </c>
    </row>
    <row r="31" ht="22.5" customHeight="1">
      <c r="A31" s="3">
        <v>30.0</v>
      </c>
      <c r="B31" s="3" t="s">
        <v>169</v>
      </c>
      <c r="C31" s="3" t="s">
        <v>170</v>
      </c>
      <c r="D31" s="3" t="s">
        <v>115</v>
      </c>
      <c r="E31" s="3">
        <v>2.49</v>
      </c>
      <c r="F31" s="3">
        <v>15.22</v>
      </c>
      <c r="G31" s="3">
        <v>4.93</v>
      </c>
      <c r="H31" s="3">
        <v>99.0</v>
      </c>
      <c r="I31" s="3" t="s">
        <v>116</v>
      </c>
      <c r="K31" s="3">
        <v>5.0</v>
      </c>
      <c r="L31" s="3" t="s">
        <v>82</v>
      </c>
      <c r="M31" s="3" t="s">
        <v>56</v>
      </c>
      <c r="N31" s="3" t="s">
        <v>26</v>
      </c>
      <c r="O31" s="3" t="s">
        <v>171</v>
      </c>
      <c r="P31" s="3" t="s">
        <v>36</v>
      </c>
      <c r="Q31" s="3">
        <v>30.0</v>
      </c>
      <c r="R31" s="4" t="str">
        <f>IFERROR(__xludf.DUMMYFUNCTION("AI(""Summarize this description using 10 words"")"),"Nutrient-rich kiwi is perfect for snacking or a tropical twist.")</f>
        <v>Nutrient-rich kiwi is perfect for snacking or a tropical twist.</v>
      </c>
      <c r="S31" s="4" t="str">
        <f>IFERROR(__xludf.DUMMYFUNCTION("AI(""DO A SENTIMENT ANALYSIS FOR THIS TABLE"")"),"Mixed")</f>
        <v>Mixed</v>
      </c>
    </row>
    <row r="32" ht="22.5" customHeight="1">
      <c r="A32" s="3">
        <v>31.0</v>
      </c>
      <c r="B32" s="3" t="s">
        <v>172</v>
      </c>
      <c r="C32" s="3" t="s">
        <v>173</v>
      </c>
      <c r="D32" s="3" t="s">
        <v>115</v>
      </c>
      <c r="E32" s="3">
        <v>0.79</v>
      </c>
      <c r="F32" s="3">
        <v>9.7</v>
      </c>
      <c r="G32" s="3">
        <v>3.53</v>
      </c>
      <c r="H32" s="3">
        <v>31.0</v>
      </c>
      <c r="I32" s="3" t="s">
        <v>116</v>
      </c>
      <c r="K32" s="3">
        <v>3.0</v>
      </c>
      <c r="L32" s="3" t="s">
        <v>141</v>
      </c>
      <c r="M32" s="3" t="s">
        <v>76</v>
      </c>
      <c r="N32" s="3" t="s">
        <v>26</v>
      </c>
      <c r="O32" s="3" t="s">
        <v>174</v>
      </c>
      <c r="P32" s="3" t="s">
        <v>36</v>
      </c>
      <c r="Q32" s="3">
        <v>29.0</v>
      </c>
      <c r="R32" s="4" t="str">
        <f>IFERROR(__xludf.DUMMYFUNCTION("AI(""Summarize this description using 10 words"")"),"Versatile zesty lemons perfect for cooking, baking, or refreshing drinks.")</f>
        <v>Versatile zesty lemons perfect for cooking, baking, or refreshing drinks.</v>
      </c>
      <c r="S32" s="4" t="str">
        <f>IFERROR(__xludf.DUMMYFUNCTION("AI(""DO A SENTIMENT ANALYSIS FOR THIS TABLE"")"),"Positive")</f>
        <v>Positive</v>
      </c>
    </row>
    <row r="33" ht="22.5" customHeight="1">
      <c r="A33" s="3">
        <v>32.0</v>
      </c>
      <c r="B33" s="3" t="s">
        <v>175</v>
      </c>
      <c r="C33" s="3" t="s">
        <v>176</v>
      </c>
      <c r="D33" s="3" t="s">
        <v>115</v>
      </c>
      <c r="E33" s="3">
        <v>3.49</v>
      </c>
      <c r="F33" s="3">
        <v>13.74</v>
      </c>
      <c r="G33" s="3">
        <v>2.61</v>
      </c>
      <c r="H33" s="3">
        <v>27.0</v>
      </c>
      <c r="I33" s="3" t="s">
        <v>145</v>
      </c>
      <c r="K33" s="3">
        <v>5.0</v>
      </c>
      <c r="L33" s="3" t="s">
        <v>48</v>
      </c>
      <c r="M33" s="3" t="s">
        <v>34</v>
      </c>
      <c r="N33" s="3" t="s">
        <v>26</v>
      </c>
      <c r="O33" s="3" t="s">
        <v>177</v>
      </c>
      <c r="P33" s="3" t="s">
        <v>36</v>
      </c>
      <c r="Q33" s="3">
        <v>5.0</v>
      </c>
      <c r="R33" s="4" t="str">
        <f>IFERROR(__xludf.DUMMYFUNCTION("AI(""Summarize this description using 10 words"")"),"Fresh and nutritious milk, a staple for recipes and consumption.")</f>
        <v>Fresh and nutritious milk, a staple for recipes and consumption.</v>
      </c>
      <c r="S33" s="4" t="str">
        <f>IFERROR(__xludf.DUMMYFUNCTION("AI(""DO A SENTIMENT ANALYSIS FOR THIS TABLE"")"),"Positive")</f>
        <v>Positive</v>
      </c>
    </row>
    <row r="34" ht="22.5" customHeight="1">
      <c r="A34" s="3">
        <v>33.0</v>
      </c>
      <c r="B34" s="3" t="s">
        <v>178</v>
      </c>
      <c r="C34" s="3" t="s">
        <v>179</v>
      </c>
      <c r="D34" s="3" t="s">
        <v>115</v>
      </c>
      <c r="E34" s="3">
        <v>4.99</v>
      </c>
      <c r="F34" s="3">
        <v>12.87</v>
      </c>
      <c r="G34" s="3">
        <v>4.95</v>
      </c>
      <c r="H34" s="3">
        <v>99.0</v>
      </c>
      <c r="I34" s="3" t="s">
        <v>116</v>
      </c>
      <c r="K34" s="3">
        <v>5.0</v>
      </c>
      <c r="L34" s="3" t="s">
        <v>105</v>
      </c>
      <c r="M34" s="3" t="s">
        <v>49</v>
      </c>
      <c r="N34" s="3" t="s">
        <v>26</v>
      </c>
      <c r="O34" s="3" t="s">
        <v>180</v>
      </c>
      <c r="P34" s="3" t="s">
        <v>28</v>
      </c>
      <c r="Q34" s="3">
        <v>43.0</v>
      </c>
      <c r="R34" s="4" t="str">
        <f>IFERROR(__xludf.DUMMYFUNCTION("AI(""Summarize this description using 10 words"")"),"Sweet and juicy mulberries perfect for snacking, desserts, or cereals.")</f>
        <v>Sweet and juicy mulberries perfect for snacking, desserts, or cereals.</v>
      </c>
      <c r="S34" s="4" t="str">
        <f>IFERROR(__xludf.DUMMYFUNCTION("AI(""DO A SENTIMENT ANALYSIS FOR THIS TABLE"")"),"Mixed")</f>
        <v>Mixed</v>
      </c>
    </row>
    <row r="35" ht="22.5" customHeight="1">
      <c r="A35" s="3">
        <v>34.0</v>
      </c>
      <c r="B35" s="3" t="s">
        <v>181</v>
      </c>
      <c r="C35" s="3" t="s">
        <v>182</v>
      </c>
      <c r="D35" s="3" t="s">
        <v>115</v>
      </c>
      <c r="E35" s="3">
        <v>7.99</v>
      </c>
      <c r="F35" s="3">
        <v>1.59</v>
      </c>
      <c r="G35" s="3">
        <v>4.82</v>
      </c>
      <c r="H35" s="3">
        <v>57.0</v>
      </c>
      <c r="I35" s="3" t="s">
        <v>183</v>
      </c>
      <c r="K35" s="3">
        <v>6.0</v>
      </c>
      <c r="L35" s="3" t="s">
        <v>33</v>
      </c>
      <c r="M35" s="3" t="s">
        <v>42</v>
      </c>
      <c r="N35" s="3" t="s">
        <v>26</v>
      </c>
      <c r="O35" s="3" t="s">
        <v>184</v>
      </c>
      <c r="P35" s="3" t="s">
        <v>133</v>
      </c>
      <c r="Q35" s="3">
        <v>8.0</v>
      </c>
      <c r="R35" s="4" t="str">
        <f>IFERROR(__xludf.DUMMYFUNCTION("AI(""Summarize this description using 10 words"")"),"Quality Nescafe coffee in various blends for a satisfying cup.")</f>
        <v>Quality Nescafe coffee in various blends for a satisfying cup.</v>
      </c>
      <c r="S35" s="4" t="str">
        <f>IFERROR(__xludf.DUMMYFUNCTION("AI(""DO A SENTIMENT ANALYSIS FOR THIS TABLE"")"),"Positive")</f>
        <v>Positive</v>
      </c>
    </row>
    <row r="36" ht="22.5" customHeight="1">
      <c r="A36" s="3">
        <v>35.0</v>
      </c>
      <c r="B36" s="3" t="s">
        <v>185</v>
      </c>
      <c r="C36" s="3" t="s">
        <v>186</v>
      </c>
      <c r="D36" s="3" t="s">
        <v>115</v>
      </c>
      <c r="E36" s="3">
        <v>2.29</v>
      </c>
      <c r="F36" s="3">
        <v>5.38</v>
      </c>
      <c r="G36" s="3">
        <v>4.81</v>
      </c>
      <c r="H36" s="3">
        <v>13.0</v>
      </c>
      <c r="I36" s="3" t="s">
        <v>136</v>
      </c>
      <c r="K36" s="3">
        <v>9.0</v>
      </c>
      <c r="L36" s="3" t="s">
        <v>48</v>
      </c>
      <c r="M36" s="3" t="s">
        <v>25</v>
      </c>
      <c r="N36" s="3" t="s">
        <v>26</v>
      </c>
      <c r="O36" s="3" t="s">
        <v>187</v>
      </c>
      <c r="P36" s="3" t="s">
        <v>64</v>
      </c>
      <c r="Q36" s="3">
        <v>9.0</v>
      </c>
      <c r="R36" s="4" t="str">
        <f>IFERROR(__xludf.DUMMYFUNCTION("AI(""Summarize this description using 10 words"")"),"Versatile starchy potatoes, great for roasting, mashing, or side dishes.")</f>
        <v>Versatile starchy potatoes, great for roasting, mashing, or side dishes.</v>
      </c>
      <c r="S36" s="4" t="str">
        <f>IFERROR(__xludf.DUMMYFUNCTION("AI(""DO A SENTIMENT ANALYSIS FOR THIS TABLE"")"),"Positive")</f>
        <v>Positive</v>
      </c>
    </row>
    <row r="37" ht="22.5" customHeight="1">
      <c r="A37" s="3">
        <v>36.0</v>
      </c>
      <c r="B37" s="3" t="s">
        <v>188</v>
      </c>
      <c r="C37" s="3" t="s">
        <v>189</v>
      </c>
      <c r="D37" s="3" t="s">
        <v>115</v>
      </c>
      <c r="E37" s="3">
        <v>19.99</v>
      </c>
      <c r="F37" s="3">
        <v>7.59</v>
      </c>
      <c r="G37" s="3">
        <v>4.18</v>
      </c>
      <c r="H37" s="3">
        <v>80.0</v>
      </c>
      <c r="I37" s="3" t="s">
        <v>190</v>
      </c>
      <c r="K37" s="3">
        <v>9.0</v>
      </c>
      <c r="L37" s="3" t="s">
        <v>24</v>
      </c>
      <c r="M37" s="3" t="s">
        <v>76</v>
      </c>
      <c r="N37" s="3" t="s">
        <v>26</v>
      </c>
      <c r="O37" s="3" t="s">
        <v>191</v>
      </c>
      <c r="P37" s="3" t="s">
        <v>28</v>
      </c>
      <c r="Q37" s="3">
        <v>6.0</v>
      </c>
      <c r="R37" s="4" t="str">
        <f>IFERROR(__xludf.DUMMYFUNCTION("AI(""Summarize this description using 10 words"")"),"Nutrient-packed protein powder ideal for supplementing diet with essential proteins.")</f>
        <v>Nutrient-packed protein powder ideal for supplementing diet with essential proteins.</v>
      </c>
      <c r="S37" s="4" t="str">
        <f>IFERROR(__xludf.DUMMYFUNCTION("AI(""DO A SENTIMENT ANALYSIS FOR THIS TABLE"")"),"Positive")</f>
        <v>Positive</v>
      </c>
    </row>
    <row r="38" ht="22.5" customHeight="1">
      <c r="A38" s="3">
        <v>37.0</v>
      </c>
      <c r="B38" s="3" t="s">
        <v>192</v>
      </c>
      <c r="C38" s="3" t="s">
        <v>193</v>
      </c>
      <c r="D38" s="3" t="s">
        <v>115</v>
      </c>
      <c r="E38" s="3">
        <v>1.99</v>
      </c>
      <c r="F38" s="3">
        <v>9.9</v>
      </c>
      <c r="G38" s="3">
        <v>4.2</v>
      </c>
      <c r="H38" s="3">
        <v>82.0</v>
      </c>
      <c r="I38" s="3" t="s">
        <v>136</v>
      </c>
      <c r="K38" s="3">
        <v>9.0</v>
      </c>
      <c r="L38" s="3" t="s">
        <v>55</v>
      </c>
      <c r="M38" s="3" t="s">
        <v>25</v>
      </c>
      <c r="N38" s="3" t="s">
        <v>26</v>
      </c>
      <c r="O38" s="3" t="s">
        <v>194</v>
      </c>
      <c r="P38" s="3" t="s">
        <v>36</v>
      </c>
      <c r="Q38" s="3">
        <v>8.0</v>
      </c>
      <c r="R38" s="4" t="str">
        <f>IFERROR(__xludf.DUMMYFUNCTION("AI(""Summarize this description using 10 words"")"),"Flavorful red onions add depth and aroma to savory dishes.")</f>
        <v>Flavorful red onions add depth and aroma to savory dishes.</v>
      </c>
      <c r="S38" s="4" t="str">
        <f>IFERROR(__xludf.DUMMYFUNCTION("AI(""DO A SENTIMENT ANALYSIS FOR THIS TABLE"")"),"Mixed")</f>
        <v>Mixed</v>
      </c>
    </row>
    <row r="39" ht="22.5" customHeight="1">
      <c r="A39" s="3">
        <v>38.0</v>
      </c>
      <c r="B39" s="3" t="s">
        <v>195</v>
      </c>
      <c r="C39" s="3" t="s">
        <v>196</v>
      </c>
      <c r="D39" s="3" t="s">
        <v>115</v>
      </c>
      <c r="E39" s="3">
        <v>5.99</v>
      </c>
      <c r="F39" s="3">
        <v>9.29</v>
      </c>
      <c r="G39" s="3">
        <v>3.18</v>
      </c>
      <c r="H39" s="3">
        <v>59.0</v>
      </c>
      <c r="I39" s="3" t="s">
        <v>197</v>
      </c>
      <c r="K39" s="3">
        <v>5.0</v>
      </c>
      <c r="L39" s="3" t="s">
        <v>82</v>
      </c>
      <c r="M39" s="3" t="s">
        <v>56</v>
      </c>
      <c r="N39" s="3" t="s">
        <v>26</v>
      </c>
      <c r="O39" s="3" t="s">
        <v>198</v>
      </c>
      <c r="P39" s="3" t="s">
        <v>28</v>
      </c>
      <c r="Q39" s="3">
        <v>20.0</v>
      </c>
      <c r="R39" s="4" t="str">
        <f>IFERROR(__xludf.DUMMYFUNCTION("AI(""Summarize this description using 10 words"")"),"High-quality versatile rice serving as a staple for various cuisines.")</f>
        <v>High-quality versatile rice serving as a staple for various cuisines.</v>
      </c>
      <c r="S39" s="4" t="str">
        <f>IFERROR(__xludf.DUMMYFUNCTION("AI(""DO A SENTIMENT ANALYSIS FOR THIS TABLE"")"),"Mixed")</f>
        <v>Mixed</v>
      </c>
    </row>
    <row r="40" ht="22.5" customHeight="1">
      <c r="A40" s="3">
        <v>39.0</v>
      </c>
      <c r="B40" s="3" t="s">
        <v>199</v>
      </c>
      <c r="C40" s="3" t="s">
        <v>200</v>
      </c>
      <c r="D40" s="3" t="s">
        <v>115</v>
      </c>
      <c r="E40" s="3">
        <v>1.99</v>
      </c>
      <c r="F40" s="3">
        <v>17.48</v>
      </c>
      <c r="G40" s="3">
        <v>4.75</v>
      </c>
      <c r="H40" s="3">
        <v>53.0</v>
      </c>
      <c r="I40" s="3" t="s">
        <v>167</v>
      </c>
      <c r="K40" s="3">
        <v>9.0</v>
      </c>
      <c r="L40" s="3" t="s">
        <v>82</v>
      </c>
      <c r="M40" s="3" t="s">
        <v>34</v>
      </c>
      <c r="N40" s="3" t="s">
        <v>26</v>
      </c>
      <c r="O40" s="3" t="s">
        <v>201</v>
      </c>
      <c r="P40" s="3" t="s">
        <v>36</v>
      </c>
      <c r="Q40" s="3">
        <v>10.0</v>
      </c>
      <c r="R40" s="4" t="str">
        <f>IFERROR(__xludf.DUMMYFUNCTION("AI(""Summarize this description using 10 words"")"),"Variety of flavored soft drinks, ideal for refreshing beverage choices.")</f>
        <v>Variety of flavored soft drinks, ideal for refreshing beverage choices.</v>
      </c>
      <c r="S40" s="4" t="str">
        <f>IFERROR(__xludf.DUMMYFUNCTION("AI(""DO A SENTIMENT ANALYSIS FOR THIS TABLE"")"),"Mixed")</f>
        <v>Mixed</v>
      </c>
    </row>
    <row r="41" ht="22.5" customHeight="1">
      <c r="A41" s="3">
        <v>40.0</v>
      </c>
      <c r="B41" s="3" t="s">
        <v>202</v>
      </c>
      <c r="C41" s="3" t="s">
        <v>203</v>
      </c>
      <c r="D41" s="3" t="s">
        <v>115</v>
      </c>
      <c r="E41" s="3">
        <v>3.99</v>
      </c>
      <c r="F41" s="3">
        <v>1.12</v>
      </c>
      <c r="G41" s="3">
        <v>3.08</v>
      </c>
      <c r="H41" s="3">
        <v>46.0</v>
      </c>
      <c r="I41" s="3" t="s">
        <v>116</v>
      </c>
      <c r="K41" s="3">
        <v>1.0</v>
      </c>
      <c r="L41" s="3" t="s">
        <v>24</v>
      </c>
      <c r="M41" s="3" t="s">
        <v>42</v>
      </c>
      <c r="N41" s="3" t="s">
        <v>26</v>
      </c>
      <c r="O41" s="3" t="s">
        <v>204</v>
      </c>
      <c r="P41" s="3" t="s">
        <v>28</v>
      </c>
      <c r="Q41" s="3">
        <v>12.0</v>
      </c>
      <c r="R41" s="4" t="str">
        <f>IFERROR(__xludf.DUMMYFUNCTION("AI(""Summarize this description using 10 words"")"),"Sweet succulent strawberries for snacking, desserts, or blending into smoothies.")</f>
        <v>Sweet succulent strawberries for snacking, desserts, or blending into smoothies.</v>
      </c>
      <c r="S41" s="4" t="str">
        <f>IFERROR(__xludf.DUMMYFUNCTION("AI(""DO A SENTIMENT ANALYSIS FOR THIS TABLE"")"),"Mixed")</f>
        <v>Mixed</v>
      </c>
    </row>
    <row r="42" ht="22.5" customHeight="1">
      <c r="A42" s="3">
        <v>41.0</v>
      </c>
      <c r="B42" s="3" t="s">
        <v>205</v>
      </c>
      <c r="C42" s="3" t="s">
        <v>206</v>
      </c>
      <c r="D42" s="3" t="s">
        <v>115</v>
      </c>
      <c r="E42" s="3">
        <v>2.49</v>
      </c>
      <c r="F42" s="3">
        <v>13.28</v>
      </c>
      <c r="G42" s="3">
        <v>2.69</v>
      </c>
      <c r="H42" s="3">
        <v>86.0</v>
      </c>
      <c r="I42" s="3" t="s">
        <v>207</v>
      </c>
      <c r="K42" s="3">
        <v>1.0</v>
      </c>
      <c r="L42" s="3" t="s">
        <v>141</v>
      </c>
      <c r="M42" s="3" t="s">
        <v>42</v>
      </c>
      <c r="N42" s="3" t="s">
        <v>26</v>
      </c>
      <c r="O42" s="3" t="s">
        <v>208</v>
      </c>
      <c r="P42" s="3" t="s">
        <v>64</v>
      </c>
      <c r="Q42" s="3">
        <v>44.0</v>
      </c>
      <c r="R42" s="4" t="str">
        <f>IFERROR(__xludf.DUMMYFUNCTION("AI(""Summarize this description using 10 words"")"),"Convenient tissue box for everyday use, providing soft absorbent tissues.")</f>
        <v>Convenient tissue box for everyday use, providing soft absorbent tissues.</v>
      </c>
      <c r="S42" s="4" t="str">
        <f>IFERROR(__xludf.DUMMYFUNCTION("AI(""DO A SENTIMENT ANALYSIS FOR THIS TABLE"")"),"Mixed")</f>
        <v>Mixed</v>
      </c>
    </row>
    <row r="43" ht="22.5" customHeight="1">
      <c r="A43" s="3">
        <v>42.0</v>
      </c>
      <c r="B43" s="3" t="s">
        <v>209</v>
      </c>
      <c r="C43" s="3" t="s">
        <v>210</v>
      </c>
      <c r="D43" s="3" t="s">
        <v>115</v>
      </c>
      <c r="E43" s="3">
        <v>0.99</v>
      </c>
      <c r="F43" s="3">
        <v>14.92</v>
      </c>
      <c r="G43" s="3">
        <v>4.96</v>
      </c>
      <c r="H43" s="3">
        <v>53.0</v>
      </c>
      <c r="I43" s="3" t="s">
        <v>167</v>
      </c>
      <c r="K43" s="3">
        <v>4.0</v>
      </c>
      <c r="L43" s="3" t="s">
        <v>41</v>
      </c>
      <c r="M43" s="3" t="s">
        <v>76</v>
      </c>
      <c r="N43" s="3" t="s">
        <v>26</v>
      </c>
      <c r="O43" s="3" t="s">
        <v>211</v>
      </c>
      <c r="P43" s="3" t="s">
        <v>36</v>
      </c>
      <c r="Q43" s="3">
        <v>28.0</v>
      </c>
      <c r="R43" s="4" t="str">
        <f>IFERROR(__xludf.DUMMYFUNCTION("AI(""Summarize this description using 10 words"")"),"Pure refreshing bottled water essential for staying hydrated all day.")</f>
        <v>Pure refreshing bottled water essential for staying hydrated all day.</v>
      </c>
      <c r="S43" s="4" t="str">
        <f>IFERROR(__xludf.DUMMYFUNCTION("AI(""DO A SENTIMENT ANALYSIS FOR THIS TABLE"")"),"Mixed")</f>
        <v>Mixed</v>
      </c>
    </row>
    <row r="44" ht="22.5" customHeight="1">
      <c r="A44" s="3">
        <v>43.0</v>
      </c>
      <c r="B44" s="3" t="s">
        <v>212</v>
      </c>
      <c r="C44" s="3" t="s">
        <v>213</v>
      </c>
      <c r="D44" s="3" t="s">
        <v>214</v>
      </c>
      <c r="E44" s="3">
        <v>59.99</v>
      </c>
      <c r="F44" s="3">
        <v>10.41</v>
      </c>
      <c r="G44" s="3">
        <v>3.16</v>
      </c>
      <c r="H44" s="3">
        <v>47.0</v>
      </c>
      <c r="I44" s="3" t="s">
        <v>215</v>
      </c>
      <c r="K44" s="3">
        <v>4.0</v>
      </c>
      <c r="L44" s="3" t="s">
        <v>24</v>
      </c>
      <c r="M44" s="3" t="s">
        <v>76</v>
      </c>
      <c r="N44" s="3" t="s">
        <v>26</v>
      </c>
      <c r="O44" s="3" t="s">
        <v>216</v>
      </c>
      <c r="P44" s="3" t="s">
        <v>64</v>
      </c>
      <c r="Q44" s="3">
        <v>8.0</v>
      </c>
      <c r="R44" s="4" t="str">
        <f>IFERROR(__xludf.DUMMYFUNCTION("AI(""Summarize this description using 10 words"")"),"Charming home decor addition with intricate details adding elegance and whimsy.")</f>
        <v>Charming home decor addition with intricate details adding elegance and whimsy.</v>
      </c>
      <c r="S44" s="4" t="str">
        <f>IFERROR(__xludf.DUMMYFUNCTION("AI(""DO A SENTIMENT ANALYSIS FOR THIS TABLE"")"),"Negative")</f>
        <v>Negative</v>
      </c>
    </row>
    <row r="45" ht="22.5" customHeight="1">
      <c r="A45" s="3">
        <v>44.0</v>
      </c>
      <c r="B45" s="3" t="s">
        <v>217</v>
      </c>
      <c r="C45" s="3" t="s">
        <v>218</v>
      </c>
      <c r="D45" s="3" t="s">
        <v>214</v>
      </c>
      <c r="E45" s="3">
        <v>29.99</v>
      </c>
      <c r="F45" s="3">
        <v>14.87</v>
      </c>
      <c r="G45" s="3">
        <v>4.53</v>
      </c>
      <c r="H45" s="3">
        <v>77.0</v>
      </c>
      <c r="I45" s="3" t="s">
        <v>219</v>
      </c>
      <c r="K45" s="3">
        <v>1.0</v>
      </c>
      <c r="L45" s="3" t="s">
        <v>55</v>
      </c>
      <c r="M45" s="3" t="s">
        <v>34</v>
      </c>
      <c r="N45" s="3" t="s">
        <v>26</v>
      </c>
      <c r="O45" s="3" t="s">
        <v>220</v>
      </c>
      <c r="P45" s="3" t="s">
        <v>28</v>
      </c>
      <c r="Q45" s="3">
        <v>15.0</v>
      </c>
      <c r="R45" s="4" t="str">
        <f>IFERROR(__xludf.DUMMYFUNCTION("AI(""Summarize this description using 10 words"")"),"Sentimental frame with multiple slots to display cherished family memories.")</f>
        <v>Sentimental frame with multiple slots to display cherished family memories.</v>
      </c>
      <c r="S45" s="4" t="str">
        <f>IFERROR(__xludf.DUMMYFUNCTION("AI(""DO A SENTIMENT ANALYSIS FOR THIS TABLE"")"),"Mixed")</f>
        <v>Mixed</v>
      </c>
    </row>
    <row r="46" ht="22.5" customHeight="1">
      <c r="A46" s="3">
        <v>45.0</v>
      </c>
      <c r="B46" s="3" t="s">
        <v>221</v>
      </c>
      <c r="C46" s="3" t="s">
        <v>222</v>
      </c>
      <c r="D46" s="3" t="s">
        <v>214</v>
      </c>
      <c r="E46" s="3">
        <v>39.99</v>
      </c>
      <c r="F46" s="3">
        <v>7.46</v>
      </c>
      <c r="G46" s="3">
        <v>4.67</v>
      </c>
      <c r="H46" s="3">
        <v>28.0</v>
      </c>
      <c r="I46" s="3" t="s">
        <v>223</v>
      </c>
      <c r="K46" s="3">
        <v>8.0</v>
      </c>
      <c r="L46" s="3" t="s">
        <v>33</v>
      </c>
      <c r="M46" s="3" t="s">
        <v>49</v>
      </c>
      <c r="N46" s="3" t="s">
        <v>26</v>
      </c>
      <c r="O46" s="3" t="s">
        <v>224</v>
      </c>
      <c r="P46" s="3" t="s">
        <v>28</v>
      </c>
      <c r="Q46" s="3">
        <v>3.0</v>
      </c>
      <c r="R46" s="4" t="str">
        <f>IFERROR(__xludf.DUMMYFUNCTION("AI(""Summarize this description using 10 words"")"),"Artificial plant adds maintenance-free greenery and style to any space.")</f>
        <v>Artificial plant adds maintenance-free greenery and style to any space.</v>
      </c>
      <c r="S46" s="4" t="str">
        <f>IFERROR(__xludf.DUMMYFUNCTION("AI(""DO A SENTIMENT ANALYSIS FOR THIS TABLE"")"),"Mixed")</f>
        <v>Mixed</v>
      </c>
    </row>
    <row r="47" ht="22.5" customHeight="1">
      <c r="A47" s="3">
        <v>46.0</v>
      </c>
      <c r="B47" s="3" t="s">
        <v>225</v>
      </c>
      <c r="C47" s="3" t="s">
        <v>226</v>
      </c>
      <c r="D47" s="3" t="s">
        <v>214</v>
      </c>
      <c r="E47" s="3">
        <v>14.99</v>
      </c>
      <c r="F47" s="3">
        <v>6.84</v>
      </c>
      <c r="G47" s="3">
        <v>3.01</v>
      </c>
      <c r="H47" s="3">
        <v>59.0</v>
      </c>
      <c r="I47" s="3" t="s">
        <v>227</v>
      </c>
      <c r="K47" s="3">
        <v>9.0</v>
      </c>
      <c r="L47" s="3" t="s">
        <v>93</v>
      </c>
      <c r="M47" s="3" t="s">
        <v>25</v>
      </c>
      <c r="N47" s="3" t="s">
        <v>26</v>
      </c>
      <c r="O47" s="3" t="s">
        <v>228</v>
      </c>
      <c r="P47" s="3" t="s">
        <v>133</v>
      </c>
      <c r="Q47" s="3">
        <v>31.0</v>
      </c>
      <c r="R47" s="4" t="str">
        <f>IFERROR(__xludf.DUMMYFUNCTION("AI(""Summarize this description using 10 words"")"),"Sleek, stylish container for indoor and outdoor modern plant displays.")</f>
        <v>Sleek, stylish container for indoor and outdoor modern plant displays.</v>
      </c>
      <c r="S47" s="4" t="str">
        <f>IFERROR(__xludf.DUMMYFUNCTION("AI(""DO A SENTIMENT ANALYSIS FOR THIS TABLE"")"),"Mixed")</f>
        <v>Mixed</v>
      </c>
    </row>
    <row r="48" ht="22.5" customHeight="1">
      <c r="A48" s="3">
        <v>47.0</v>
      </c>
      <c r="B48" s="3" t="s">
        <v>229</v>
      </c>
      <c r="C48" s="3" t="s">
        <v>230</v>
      </c>
      <c r="D48" s="3" t="s">
        <v>214</v>
      </c>
      <c r="E48" s="3">
        <v>49.99</v>
      </c>
      <c r="F48" s="3">
        <v>7.09</v>
      </c>
      <c r="G48" s="3">
        <v>3.55</v>
      </c>
      <c r="H48" s="3">
        <v>9.0</v>
      </c>
      <c r="I48" s="3" t="s">
        <v>231</v>
      </c>
      <c r="K48" s="3">
        <v>4.0</v>
      </c>
      <c r="L48" s="3" t="s">
        <v>41</v>
      </c>
      <c r="M48" s="3" t="s">
        <v>42</v>
      </c>
      <c r="N48" s="3" t="s">
        <v>26</v>
      </c>
      <c r="O48" s="3" t="s">
        <v>232</v>
      </c>
      <c r="P48" s="3" t="s">
        <v>64</v>
      </c>
      <c r="Q48" s="3">
        <v>2.0</v>
      </c>
      <c r="R48" s="4" t="str">
        <f>IFERROR(__xludf.DUMMYFUNCTION("AI(""Summarize this description using 10 words"")"),"Modern functional decorative lamp providing ambient and task lighting solutions.")</f>
        <v>Modern functional decorative lamp providing ambient and task lighting solutions.</v>
      </c>
      <c r="S48" s="4" t="str">
        <f>IFERROR(__xludf.DUMMYFUNCTION("AI(""DO A SENTIMENT ANALYSIS FOR THIS TABLE"")"),"Mixed")</f>
        <v>Mixed</v>
      </c>
    </row>
    <row r="49" ht="22.5" customHeight="1">
      <c r="A49" s="3">
        <v>48.0</v>
      </c>
      <c r="B49" s="3" t="s">
        <v>233</v>
      </c>
      <c r="C49" s="3" t="s">
        <v>234</v>
      </c>
      <c r="D49" s="3" t="s">
        <v>235</v>
      </c>
      <c r="E49" s="3">
        <v>7.99</v>
      </c>
      <c r="F49" s="3">
        <v>2.84</v>
      </c>
      <c r="G49" s="3">
        <v>3.27</v>
      </c>
      <c r="H49" s="3">
        <v>37.0</v>
      </c>
      <c r="I49" s="3" t="s">
        <v>236</v>
      </c>
      <c r="K49" s="3">
        <v>3.0</v>
      </c>
      <c r="L49" s="3" t="s">
        <v>55</v>
      </c>
      <c r="M49" s="3" t="s">
        <v>56</v>
      </c>
      <c r="N49" s="3" t="s">
        <v>26</v>
      </c>
      <c r="O49" s="3" t="s">
        <v>237</v>
      </c>
      <c r="P49" s="3" t="s">
        <v>107</v>
      </c>
      <c r="Q49" s="3">
        <v>29.0</v>
      </c>
      <c r="R49" s="4" t="str">
        <f>IFERROR(__xludf.DUMMYFUNCTION("AI(""Summarize this description using 10 words"")"),"Versatile eco-friendly bamboo kitchen tool for flipping, stirring and serving.")</f>
        <v>Versatile eco-friendly bamboo kitchen tool for flipping, stirring and serving.</v>
      </c>
      <c r="S49" s="4" t="str">
        <f>IFERROR(__xludf.DUMMYFUNCTION("AI(""DO A SENTIMENT ANALYSIS FOR THIS TABLE"")"),"Positive")</f>
        <v>Positive</v>
      </c>
    </row>
    <row r="50" ht="22.5" customHeight="1">
      <c r="A50" s="3">
        <v>49.0</v>
      </c>
      <c r="B50" s="3" t="s">
        <v>238</v>
      </c>
      <c r="C50" s="3" t="s">
        <v>239</v>
      </c>
      <c r="D50" s="3" t="s">
        <v>235</v>
      </c>
      <c r="E50" s="3">
        <v>5.99</v>
      </c>
      <c r="F50" s="3">
        <v>15.65</v>
      </c>
      <c r="G50" s="3">
        <v>4.46</v>
      </c>
      <c r="H50" s="3">
        <v>75.0</v>
      </c>
      <c r="I50" s="3" t="s">
        <v>240</v>
      </c>
      <c r="K50" s="3">
        <v>7.0</v>
      </c>
      <c r="L50" s="3" t="s">
        <v>33</v>
      </c>
      <c r="M50" s="3" t="s">
        <v>56</v>
      </c>
      <c r="N50" s="3" t="s">
        <v>26</v>
      </c>
      <c r="O50" s="3" t="s">
        <v>241</v>
      </c>
      <c r="P50" s="3" t="s">
        <v>133</v>
      </c>
      <c r="Q50" s="3">
        <v>48.0</v>
      </c>
      <c r="R50" s="4" t="str">
        <f>IFERROR(__xludf.DUMMYFUNCTION("AI(""Summarize this description using 10 words"")"),"Stylish durable black cup for hot and cold drinks. Modern.")</f>
        <v>Stylish durable black cup for hot and cold drinks. Modern.</v>
      </c>
      <c r="S50" s="4" t="str">
        <f>IFERROR(__xludf.DUMMYFUNCTION("AI(""DO A SENTIMENT ANALYSIS FOR THIS TABLE"")"),"Mixed")</f>
        <v>Mixed</v>
      </c>
    </row>
    <row r="51" ht="22.5" customHeight="1">
      <c r="A51" s="3">
        <v>50.0</v>
      </c>
      <c r="B51" s="3" t="s">
        <v>242</v>
      </c>
      <c r="C51" s="3" t="s">
        <v>243</v>
      </c>
      <c r="D51" s="3" t="s">
        <v>235</v>
      </c>
      <c r="E51" s="3">
        <v>9.99</v>
      </c>
      <c r="F51" s="3">
        <v>10.24</v>
      </c>
      <c r="G51" s="3">
        <v>3.9</v>
      </c>
      <c r="H51" s="3">
        <v>73.0</v>
      </c>
      <c r="I51" s="3" t="s">
        <v>236</v>
      </c>
      <c r="K51" s="3">
        <v>1.0</v>
      </c>
      <c r="L51" s="3" t="s">
        <v>41</v>
      </c>
      <c r="M51" s="3" t="s">
        <v>76</v>
      </c>
      <c r="N51" s="3" t="s">
        <v>26</v>
      </c>
      <c r="O51" s="3" t="s">
        <v>244</v>
      </c>
      <c r="P51" s="3" t="s">
        <v>133</v>
      </c>
      <c r="Q51" s="3">
        <v>40.0</v>
      </c>
      <c r="R51" s="4" t="str">
        <f>IFERROR(__xludf.DUMMYFUNCTION("AI(""Summarize this description using 10 words"")"),"Essential kitchen tool for whisking ingredients with ergonomic stylish design")</f>
        <v>Essential kitchen tool for whisking ingredients with ergonomic stylish design</v>
      </c>
      <c r="S51" s="4" t="str">
        <f>IFERROR(__xludf.DUMMYFUNCTION("AI(""DO A SENTIMENT ANALYSIS FOR THIS TABLE"")"),"Mixed")</f>
        <v>Mixed</v>
      </c>
    </row>
    <row r="52" ht="22.5" customHeight="1">
      <c r="A52" s="3">
        <v>51.0</v>
      </c>
      <c r="B52" s="3" t="s">
        <v>245</v>
      </c>
      <c r="C52" s="3" t="s">
        <v>246</v>
      </c>
      <c r="D52" s="3" t="s">
        <v>235</v>
      </c>
      <c r="E52" s="3">
        <v>39.99</v>
      </c>
      <c r="F52" s="3">
        <v>7.26</v>
      </c>
      <c r="G52" s="3">
        <v>4.56</v>
      </c>
      <c r="H52" s="3">
        <v>9.0</v>
      </c>
      <c r="I52" s="3" t="s">
        <v>247</v>
      </c>
      <c r="K52" s="3">
        <v>1.0</v>
      </c>
      <c r="L52" s="3" t="s">
        <v>99</v>
      </c>
      <c r="M52" s="3" t="s">
        <v>42</v>
      </c>
      <c r="N52" s="3" t="s">
        <v>26</v>
      </c>
      <c r="O52" s="3" t="s">
        <v>248</v>
      </c>
      <c r="P52" s="3" t="s">
        <v>36</v>
      </c>
      <c r="Q52" s="3">
        <v>4.0</v>
      </c>
      <c r="R52" s="4" t="str">
        <f>IFERROR(__xludf.DUMMYFUNCTION("AI(""Summarize this description using 10 words"")"),"Powerful compact blender for smoothies, shakes, and versatile kitchen tasks.")</f>
        <v>Powerful compact blender for smoothies, shakes, and versatile kitchen tasks.</v>
      </c>
      <c r="S52" s="4" t="str">
        <f>IFERROR(__xludf.DUMMYFUNCTION("AI(""DO A SENTIMENT ANALYSIS FOR THIS TABLE"")"),"Positive")</f>
        <v>Positive</v>
      </c>
    </row>
    <row r="53" ht="22.5" customHeight="1">
      <c r="A53" s="3">
        <v>52.0</v>
      </c>
      <c r="B53" s="3" t="s">
        <v>249</v>
      </c>
      <c r="C53" s="3" t="s">
        <v>250</v>
      </c>
      <c r="D53" s="3" t="s">
        <v>235</v>
      </c>
      <c r="E53" s="3">
        <v>29.99</v>
      </c>
      <c r="F53" s="3">
        <v>6.53</v>
      </c>
      <c r="G53" s="3">
        <v>4.05</v>
      </c>
      <c r="H53" s="3">
        <v>40.0</v>
      </c>
      <c r="I53" s="3" t="s">
        <v>251</v>
      </c>
      <c r="K53" s="3">
        <v>2.0</v>
      </c>
      <c r="L53" s="3" t="s">
        <v>105</v>
      </c>
      <c r="M53" s="3" t="s">
        <v>42</v>
      </c>
      <c r="N53" s="3" t="s">
        <v>26</v>
      </c>
      <c r="O53" s="3" t="s">
        <v>252</v>
      </c>
      <c r="P53" s="3" t="s">
        <v>36</v>
      </c>
      <c r="Q53" s="3">
        <v>9.0</v>
      </c>
      <c r="R53" s="4" t="str">
        <f>IFERROR(__xludf.DUMMYFUNCTION("AI(""Summarize this description using 10 words"")"),"Versatile carbon steel wok for stir-frying, sautéing, and deep frying.")</f>
        <v>Versatile carbon steel wok for stir-frying, sautéing, and deep frying.</v>
      </c>
      <c r="S53" s="4" t="str">
        <f>IFERROR(__xludf.DUMMYFUNCTION("AI(""DO A SENTIMENT ANALYSIS FOR THIS TABLE"")"),"Positive")</f>
        <v>Positive</v>
      </c>
    </row>
    <row r="54" ht="22.5" customHeight="1">
      <c r="A54" s="3">
        <v>53.0</v>
      </c>
      <c r="B54" s="3" t="s">
        <v>253</v>
      </c>
      <c r="C54" s="3" t="s">
        <v>254</v>
      </c>
      <c r="D54" s="3" t="s">
        <v>235</v>
      </c>
      <c r="E54" s="3">
        <v>12.99</v>
      </c>
      <c r="F54" s="3">
        <v>8.03</v>
      </c>
      <c r="G54" s="3">
        <v>3.7</v>
      </c>
      <c r="H54" s="3">
        <v>14.0</v>
      </c>
      <c r="I54" s="3" t="s">
        <v>255</v>
      </c>
      <c r="K54" s="3">
        <v>2.0</v>
      </c>
      <c r="L54" s="3" t="s">
        <v>41</v>
      </c>
      <c r="M54" s="3" t="s">
        <v>34</v>
      </c>
      <c r="N54" s="3" t="s">
        <v>26</v>
      </c>
      <c r="O54" s="3" t="s">
        <v>256</v>
      </c>
      <c r="P54" s="3" t="s">
        <v>28</v>
      </c>
      <c r="Q54" s="3">
        <v>5.0</v>
      </c>
      <c r="R54" s="4" t="str">
        <f>IFERROR(__xludf.DUMMYFUNCTION("AI(""Summarize this description using 10 words"")"),"Durable kitchen accessory providing a safe and hygienic cutting surface.")</f>
        <v>Durable kitchen accessory providing a safe and hygienic cutting surface.</v>
      </c>
      <c r="S54" s="4" t="str">
        <f>IFERROR(__xludf.DUMMYFUNCTION("AI(""DO A SENTIMENT ANALYSIS FOR THIS TABLE"")"),"Positive")</f>
        <v>Positive</v>
      </c>
    </row>
    <row r="55" ht="22.5" customHeight="1">
      <c r="A55" s="3">
        <v>54.0</v>
      </c>
      <c r="B55" s="3" t="s">
        <v>257</v>
      </c>
      <c r="C55" s="3" t="s">
        <v>258</v>
      </c>
      <c r="D55" s="3" t="s">
        <v>235</v>
      </c>
      <c r="E55" s="3">
        <v>8.99</v>
      </c>
      <c r="F55" s="3">
        <v>12.1</v>
      </c>
      <c r="G55" s="3">
        <v>4.63</v>
      </c>
      <c r="H55" s="3">
        <v>22.0</v>
      </c>
      <c r="I55" s="3" t="s">
        <v>259</v>
      </c>
      <c r="K55" s="3">
        <v>2.0</v>
      </c>
      <c r="L55" s="3" t="s">
        <v>105</v>
      </c>
      <c r="M55" s="3" t="s">
        <v>25</v>
      </c>
      <c r="N55" s="3" t="s">
        <v>26</v>
      </c>
      <c r="O55" s="3" t="s">
        <v>260</v>
      </c>
      <c r="P55" s="3" t="s">
        <v>107</v>
      </c>
      <c r="Q55" s="3">
        <v>38.0</v>
      </c>
      <c r="R55" s="4" t="str">
        <f>IFERROR(__xludf.DUMMYFUNCTION("AI(""Summarize this description using 10 words"")"),"Handy yellow tool for extracting juice from vibrant citrus fruits.")</f>
        <v>Handy yellow tool for extracting juice from vibrant citrus fruits.</v>
      </c>
      <c r="S55" s="4" t="str">
        <f>IFERROR(__xludf.DUMMYFUNCTION("AI(""DO A SENTIMENT ANALYSIS FOR THIS TABLE"")"),"Positive")</f>
        <v>Positive</v>
      </c>
    </row>
    <row r="56" ht="22.5" customHeight="1">
      <c r="A56" s="3">
        <v>55.0</v>
      </c>
      <c r="B56" s="3" t="s">
        <v>261</v>
      </c>
      <c r="C56" s="3" t="s">
        <v>262</v>
      </c>
      <c r="D56" s="3" t="s">
        <v>235</v>
      </c>
      <c r="E56" s="3">
        <v>6.99</v>
      </c>
      <c r="F56" s="3">
        <v>14.76</v>
      </c>
      <c r="G56" s="3">
        <v>3.09</v>
      </c>
      <c r="H56" s="3">
        <v>40.0</v>
      </c>
      <c r="I56" s="3" t="s">
        <v>263</v>
      </c>
      <c r="K56" s="3">
        <v>2.0</v>
      </c>
      <c r="L56" s="3" t="s">
        <v>24</v>
      </c>
      <c r="M56" s="3" t="s">
        <v>76</v>
      </c>
      <c r="N56" s="3" t="s">
        <v>26</v>
      </c>
      <c r="O56" s="3" t="s">
        <v>264</v>
      </c>
      <c r="P56" s="3" t="s">
        <v>28</v>
      </c>
      <c r="Q56" s="3">
        <v>32.0</v>
      </c>
      <c r="R56" s="4" t="str">
        <f>IFERROR(__xludf.DUMMYFUNCTION("AI(""Summarize this description using 10 words"")"),"Convenient tool for even egg slicing, perfect for salads and sandwiches.")</f>
        <v>Convenient tool for even egg slicing, perfect for salads and sandwiches.</v>
      </c>
      <c r="S56" s="4" t="str">
        <f>IFERROR(__xludf.DUMMYFUNCTION("AI(""DO A SENTIMENT ANALYSIS FOR THIS TABLE"")"),"Mixed")</f>
        <v>Mixed</v>
      </c>
    </row>
    <row r="57" ht="22.5" customHeight="1">
      <c r="A57" s="3">
        <v>56.0</v>
      </c>
      <c r="B57" s="3" t="s">
        <v>265</v>
      </c>
      <c r="C57" s="3" t="s">
        <v>266</v>
      </c>
      <c r="D57" s="3" t="s">
        <v>235</v>
      </c>
      <c r="E57" s="3">
        <v>49.99</v>
      </c>
      <c r="F57" s="3">
        <v>14.04</v>
      </c>
      <c r="G57" s="3">
        <v>4.11</v>
      </c>
      <c r="H57" s="3">
        <v>21.0</v>
      </c>
      <c r="I57" s="3" t="s">
        <v>267</v>
      </c>
      <c r="K57" s="3">
        <v>5.0</v>
      </c>
      <c r="L57" s="3" t="s">
        <v>105</v>
      </c>
      <c r="M57" s="3" t="s">
        <v>49</v>
      </c>
      <c r="N57" s="3" t="s">
        <v>26</v>
      </c>
      <c r="O57" s="3" t="s">
        <v>268</v>
      </c>
      <c r="P57" s="3" t="s">
        <v>36</v>
      </c>
      <c r="Q57" s="3">
        <v>8.0</v>
      </c>
      <c r="R57" s="4" t="str">
        <f>IFERROR(__xludf.DUMMYFUNCTION("AI(""Summarize this description using 10 words"")"),"Portable and efficient electric stove for small kitchens and travel.")</f>
        <v>Portable and efficient electric stove for small kitchens and travel.</v>
      </c>
      <c r="S57" s="4" t="str">
        <f>IFERROR(__xludf.DUMMYFUNCTION("AI(""DO A SENTIMENT ANALYSIS FOR THIS TABLE"")"),"Mixed")</f>
        <v>Mixed</v>
      </c>
    </row>
    <row r="58" ht="22.5" customHeight="1">
      <c r="A58" s="3">
        <v>57.0</v>
      </c>
      <c r="B58" s="3" t="s">
        <v>269</v>
      </c>
      <c r="C58" s="3" t="s">
        <v>270</v>
      </c>
      <c r="D58" s="3" t="s">
        <v>235</v>
      </c>
      <c r="E58" s="3">
        <v>9.99</v>
      </c>
      <c r="F58" s="3">
        <v>3.5</v>
      </c>
      <c r="G58" s="3">
        <v>3.04</v>
      </c>
      <c r="H58" s="3">
        <v>85.0</v>
      </c>
      <c r="I58" s="3" t="s">
        <v>271</v>
      </c>
      <c r="K58" s="3">
        <v>9.0</v>
      </c>
      <c r="L58" s="3" t="s">
        <v>55</v>
      </c>
      <c r="M58" s="3" t="s">
        <v>56</v>
      </c>
      <c r="N58" s="3" t="s">
        <v>26</v>
      </c>
      <c r="O58" s="3" t="s">
        <v>272</v>
      </c>
      <c r="P58" s="3" t="s">
        <v>36</v>
      </c>
      <c r="Q58" s="3">
        <v>43.0</v>
      </c>
      <c r="R58" s="4" t="str">
        <f>IFERROR(__xludf.DUMMYFUNCTION("AI(""Summarize this description using 10 words"")"),"Versatile fine mesh strainer for liquids and sifting dry ingredients.")</f>
        <v>Versatile fine mesh strainer for liquids and sifting dry ingredients.</v>
      </c>
      <c r="S58" s="4" t="str">
        <f>IFERROR(__xludf.DUMMYFUNCTION("AI(""DO A SENTIMENT ANALYSIS FOR THIS TABLE"")"),"Positive")</f>
        <v>Positive</v>
      </c>
    </row>
    <row r="59" ht="22.5" customHeight="1">
      <c r="A59" s="3">
        <v>58.0</v>
      </c>
      <c r="B59" s="3" t="s">
        <v>273</v>
      </c>
      <c r="C59" s="3" t="s">
        <v>274</v>
      </c>
      <c r="D59" s="3" t="s">
        <v>235</v>
      </c>
      <c r="E59" s="3">
        <v>3.99</v>
      </c>
      <c r="F59" s="3">
        <v>8.07</v>
      </c>
      <c r="G59" s="3">
        <v>3.11</v>
      </c>
      <c r="H59" s="3">
        <v>7.0</v>
      </c>
      <c r="I59" s="3" t="s">
        <v>236</v>
      </c>
      <c r="K59" s="3">
        <v>9.0</v>
      </c>
      <c r="L59" s="3" t="s">
        <v>141</v>
      </c>
      <c r="M59" s="3" t="s">
        <v>76</v>
      </c>
      <c r="N59" s="3" t="s">
        <v>26</v>
      </c>
      <c r="O59" s="3" t="s">
        <v>275</v>
      </c>
      <c r="P59" s="3" t="s">
        <v>28</v>
      </c>
      <c r="Q59" s="3">
        <v>36.0</v>
      </c>
      <c r="R59" s="4" t="str">
        <f>IFERROR(__xludf.DUMMYFUNCTION("AI(""Summarize this description using 10 words"")"),"Classic, durable, ergonomic utensil for everyday dining and serving purposes.")</f>
        <v>Classic, durable, ergonomic utensil for everyday dining and serving purposes.</v>
      </c>
      <c r="S59" s="4" t="str">
        <f>IFERROR(__xludf.DUMMYFUNCTION("AI(""DO A SENTIMENT ANALYSIS FOR THIS TABLE"")"),"Mixed")</f>
        <v>Mixed</v>
      </c>
    </row>
    <row r="60" ht="22.5" customHeight="1">
      <c r="A60" s="3">
        <v>59.0</v>
      </c>
      <c r="B60" s="3" t="s">
        <v>276</v>
      </c>
      <c r="C60" s="3" t="s">
        <v>277</v>
      </c>
      <c r="D60" s="3" t="s">
        <v>235</v>
      </c>
      <c r="E60" s="3">
        <v>4.99</v>
      </c>
      <c r="F60" s="3">
        <v>7.92</v>
      </c>
      <c r="G60" s="3">
        <v>4.02</v>
      </c>
      <c r="H60" s="3">
        <v>46.0</v>
      </c>
      <c r="I60" s="3" t="s">
        <v>278</v>
      </c>
      <c r="K60" s="3">
        <v>10.0</v>
      </c>
      <c r="L60" s="3" t="s">
        <v>48</v>
      </c>
      <c r="M60" s="3" t="s">
        <v>56</v>
      </c>
      <c r="N60" s="3" t="s">
        <v>26</v>
      </c>
      <c r="O60" s="3" t="s">
        <v>279</v>
      </c>
      <c r="P60" s="3" t="s">
        <v>36</v>
      </c>
      <c r="Q60" s="3">
        <v>17.0</v>
      </c>
      <c r="R60" s="4" t="str">
        <f>IFERROR(__xludf.DUMMYFUNCTION("AI(""Summarize this description using 10 words"")"),"Versatile, elegant drinking vessel with a clear, clear-view design.")</f>
        <v>Versatile, elegant drinking vessel with a clear, clear-view design.</v>
      </c>
      <c r="S60" s="4" t="str">
        <f>IFERROR(__xludf.DUMMYFUNCTION("AI(""DO A SENTIMENT ANALYSIS FOR THIS TABLE"")"),"Positive")</f>
        <v>Positive</v>
      </c>
    </row>
    <row r="61" ht="22.5" customHeight="1">
      <c r="A61" s="3">
        <v>60.0</v>
      </c>
      <c r="B61" s="3" t="s">
        <v>280</v>
      </c>
      <c r="C61" s="3" t="s">
        <v>281</v>
      </c>
      <c r="D61" s="3" t="s">
        <v>235</v>
      </c>
      <c r="E61" s="3">
        <v>10.99</v>
      </c>
      <c r="F61" s="3">
        <v>3.56</v>
      </c>
      <c r="G61" s="3">
        <v>3.21</v>
      </c>
      <c r="H61" s="3">
        <v>84.0</v>
      </c>
      <c r="I61" s="3" t="s">
        <v>282</v>
      </c>
      <c r="K61" s="3">
        <v>3.0</v>
      </c>
      <c r="L61" s="3" t="s">
        <v>55</v>
      </c>
      <c r="M61" s="3" t="s">
        <v>49</v>
      </c>
      <c r="N61" s="3" t="s">
        <v>26</v>
      </c>
      <c r="O61" s="3" t="s">
        <v>283</v>
      </c>
      <c r="P61" s="3" t="s">
        <v>107</v>
      </c>
      <c r="Q61" s="3">
        <v>5.0</v>
      </c>
      <c r="R61" s="4" t="str">
        <f>IFERROR(__xludf.DUMMYFUNCTION("AI(""Summarize this description using 10 words"")"),"Efficient black kitchen tool for easy grating with sharp blades.")</f>
        <v>Efficient black kitchen tool for easy grating with sharp blades.</v>
      </c>
      <c r="S61" s="4" t="str">
        <f>IFERROR(__xludf.DUMMYFUNCTION("AI(""DO A SENTIMENT ANALYSIS FOR THIS TABLE"")"),"Mixed")</f>
        <v>Mixed</v>
      </c>
    </row>
    <row r="62" ht="22.5" customHeight="1">
      <c r="A62" s="3">
        <v>61.0</v>
      </c>
      <c r="B62" s="3" t="s">
        <v>284</v>
      </c>
      <c r="C62" s="3" t="s">
        <v>285</v>
      </c>
      <c r="D62" s="3" t="s">
        <v>235</v>
      </c>
      <c r="E62" s="3">
        <v>34.99</v>
      </c>
      <c r="F62" s="3">
        <v>17.02</v>
      </c>
      <c r="G62" s="3">
        <v>3.86</v>
      </c>
      <c r="H62" s="3">
        <v>84.0</v>
      </c>
      <c r="I62" s="3" t="s">
        <v>247</v>
      </c>
      <c r="K62" s="3">
        <v>5.0</v>
      </c>
      <c r="L62" s="3" t="s">
        <v>33</v>
      </c>
      <c r="M62" s="3" t="s">
        <v>49</v>
      </c>
      <c r="N62" s="3" t="s">
        <v>26</v>
      </c>
      <c r="O62" s="3" t="s">
        <v>286</v>
      </c>
      <c r="P62" s="3" t="s">
        <v>28</v>
      </c>
      <c r="Q62" s="3">
        <v>11.0</v>
      </c>
      <c r="R62" s="4" t="str">
        <f>IFERROR(__xludf.DUMMYFUNCTION("AI(""Summarize this description using 10 words"")"),"Versatile, compact kitchen tool for blending, pureeing, and mixing ingredients.")</f>
        <v>Versatile, compact kitchen tool for blending, pureeing, and mixing ingredients.</v>
      </c>
      <c r="S62" s="4" t="str">
        <f>IFERROR(__xludf.DUMMYFUNCTION("AI(""DO A SENTIMENT ANALYSIS FOR THIS TABLE"")"),"Positive")</f>
        <v>Positive</v>
      </c>
    </row>
    <row r="63" ht="22.5" customHeight="1">
      <c r="A63" s="3">
        <v>62.0</v>
      </c>
      <c r="B63" s="3" t="s">
        <v>287</v>
      </c>
      <c r="C63" s="3" t="s">
        <v>288</v>
      </c>
      <c r="D63" s="3" t="s">
        <v>235</v>
      </c>
      <c r="E63" s="3">
        <v>5.99</v>
      </c>
      <c r="F63" s="3">
        <v>0.63</v>
      </c>
      <c r="G63" s="3">
        <v>4.71</v>
      </c>
      <c r="H63" s="3">
        <v>13.0</v>
      </c>
      <c r="I63" s="3" t="s">
        <v>289</v>
      </c>
      <c r="K63" s="3">
        <v>3.0</v>
      </c>
      <c r="L63" s="3" t="s">
        <v>55</v>
      </c>
      <c r="M63" s="3" t="s">
        <v>56</v>
      </c>
      <c r="N63" s="3" t="s">
        <v>26</v>
      </c>
      <c r="O63" s="3" t="s">
        <v>290</v>
      </c>
      <c r="P63" s="3" t="s">
        <v>28</v>
      </c>
      <c r="Q63" s="3">
        <v>16.0</v>
      </c>
      <c r="R63" s="4" t="str">
        <f>IFERROR(__xludf.DUMMYFUNCTION("AI(""Summarize this description using 10 words"")"),"Practical tray creates various shaped ice cubes for cool drinks.")</f>
        <v>Practical tray creates various shaped ice cubes for cool drinks.</v>
      </c>
      <c r="S63" s="4" t="str">
        <f>IFERROR(__xludf.DUMMYFUNCTION("AI(""DO A SENTIMENT ANALYSIS FOR THIS TABLE"")"),"Positive")</f>
        <v>Positive</v>
      </c>
    </row>
    <row r="64" ht="22.5" customHeight="1">
      <c r="A64" s="3">
        <v>63.0</v>
      </c>
      <c r="B64" s="3" t="s">
        <v>291</v>
      </c>
      <c r="C64" s="3" t="s">
        <v>292</v>
      </c>
      <c r="D64" s="3" t="s">
        <v>235</v>
      </c>
      <c r="E64" s="3">
        <v>7.99</v>
      </c>
      <c r="F64" s="3">
        <v>18.91</v>
      </c>
      <c r="G64" s="3">
        <v>3.09</v>
      </c>
      <c r="H64" s="3">
        <v>68.0</v>
      </c>
      <c r="I64" s="3" t="s">
        <v>271</v>
      </c>
      <c r="K64" s="3">
        <v>5.0</v>
      </c>
      <c r="L64" s="3" t="s">
        <v>55</v>
      </c>
      <c r="M64" s="3" t="s">
        <v>56</v>
      </c>
      <c r="N64" s="3" t="s">
        <v>26</v>
      </c>
      <c r="O64" s="3" t="s">
        <v>293</v>
      </c>
      <c r="P64" s="3" t="s">
        <v>28</v>
      </c>
      <c r="Q64" s="3">
        <v>5.0</v>
      </c>
      <c r="R64" s="4" t="str">
        <f>IFERROR(__xludf.DUMMYFUNCTION("AI(""Summarize this description using 10 words"")"),"Versatile tool for sifting and straining ingredients with fine mesh.")</f>
        <v>Versatile tool for sifting and straining ingredients with fine mesh.</v>
      </c>
      <c r="S64" s="4" t="str">
        <f>IFERROR(__xludf.DUMMYFUNCTION("AI(""DO A SENTIMENT ANALYSIS FOR THIS TABLE"")"),"Positive")</f>
        <v>Positive</v>
      </c>
    </row>
    <row r="65" ht="22.5" customHeight="1">
      <c r="A65" s="3">
        <v>64.0</v>
      </c>
      <c r="B65" s="3" t="s">
        <v>294</v>
      </c>
      <c r="C65" s="3" t="s">
        <v>295</v>
      </c>
      <c r="D65" s="3" t="s">
        <v>235</v>
      </c>
      <c r="E65" s="3">
        <v>14.99</v>
      </c>
      <c r="F65" s="3">
        <v>18.86</v>
      </c>
      <c r="G65" s="3">
        <v>3.26</v>
      </c>
      <c r="H65" s="3">
        <v>7.0</v>
      </c>
      <c r="I65" s="3" t="s">
        <v>296</v>
      </c>
      <c r="K65" s="3">
        <v>3.0</v>
      </c>
      <c r="L65" s="3" t="s">
        <v>55</v>
      </c>
      <c r="M65" s="3" t="s">
        <v>49</v>
      </c>
      <c r="N65" s="3" t="s">
        <v>77</v>
      </c>
      <c r="O65" s="3" t="s">
        <v>297</v>
      </c>
      <c r="P65" s="3" t="s">
        <v>36</v>
      </c>
      <c r="Q65" s="3">
        <v>50.0</v>
      </c>
      <c r="R65" s="4" t="str">
        <f>IFERROR(__xludf.DUMMYFUNCTION("AI(""Summarize this description using 10 words"")"),"Essential kitchen tool for chopping, slicing, dicing, and food preparation.")</f>
        <v>Essential kitchen tool for chopping, slicing, dicing, and food preparation.</v>
      </c>
      <c r="S65" s="4" t="str">
        <f>IFERROR(__xludf.DUMMYFUNCTION("AI(""DO A SENTIMENT ANALYSIS FOR THIS TABLE"")"),"Positive")</f>
        <v>Positive</v>
      </c>
    </row>
    <row r="66" ht="22.5" customHeight="1">
      <c r="A66" s="3">
        <v>65.0</v>
      </c>
      <c r="B66" s="3" t="s">
        <v>298</v>
      </c>
      <c r="C66" s="3" t="s">
        <v>299</v>
      </c>
      <c r="D66" s="3" t="s">
        <v>235</v>
      </c>
      <c r="E66" s="3">
        <v>12.99</v>
      </c>
      <c r="F66" s="3">
        <v>10.34</v>
      </c>
      <c r="G66" s="3">
        <v>4.93</v>
      </c>
      <c r="H66" s="3">
        <v>94.0</v>
      </c>
      <c r="I66" s="3" t="s">
        <v>300</v>
      </c>
      <c r="K66" s="3">
        <v>9.0</v>
      </c>
      <c r="L66" s="3" t="s">
        <v>99</v>
      </c>
      <c r="M66" s="3" t="s">
        <v>42</v>
      </c>
      <c r="N66" s="3" t="s">
        <v>26</v>
      </c>
      <c r="O66" s="3" t="s">
        <v>301</v>
      </c>
      <c r="P66" s="3" t="s">
        <v>133</v>
      </c>
      <c r="Q66" s="3">
        <v>39.0</v>
      </c>
      <c r="R66" s="4" t="str">
        <f>IFERROR(__xludf.DUMMYFUNCTION("AI(""Summarize this description using 10 words"")"),"Portable meal container with compartments for packing and carrying meals.")</f>
        <v>Portable meal container with compartments for packing and carrying meals.</v>
      </c>
      <c r="S66" s="4" t="str">
        <f>IFERROR(__xludf.DUMMYFUNCTION("AI(""DO A SENTIMENT ANALYSIS FOR THIS TABLE"")"),"Positive")</f>
        <v>Positive</v>
      </c>
    </row>
    <row r="67" ht="22.5" customHeight="1">
      <c r="A67" s="3">
        <v>66.0</v>
      </c>
      <c r="B67" s="3" t="s">
        <v>302</v>
      </c>
      <c r="C67" s="3" t="s">
        <v>303</v>
      </c>
      <c r="D67" s="3" t="s">
        <v>235</v>
      </c>
      <c r="E67" s="3">
        <v>89.99</v>
      </c>
      <c r="F67" s="3">
        <v>12.13</v>
      </c>
      <c r="G67" s="3">
        <v>4.82</v>
      </c>
      <c r="H67" s="3">
        <v>59.0</v>
      </c>
      <c r="I67" s="3" t="s">
        <v>304</v>
      </c>
      <c r="K67" s="3">
        <v>9.0</v>
      </c>
      <c r="L67" s="3" t="s">
        <v>33</v>
      </c>
      <c r="M67" s="3" t="s">
        <v>49</v>
      </c>
      <c r="N67" s="3" t="s">
        <v>26</v>
      </c>
      <c r="O67" s="3" t="s">
        <v>305</v>
      </c>
      <c r="P67" s="3" t="s">
        <v>36</v>
      </c>
      <c r="Q67" s="3">
        <v>4.0</v>
      </c>
      <c r="R67" s="4" t="str">
        <f>IFERROR(__xludf.DUMMYFUNCTION("AI(""Summarize this description using 10 words"")"),"Versatile kitchen appliance for quick cooking, reheating, and efficient defrosting.")</f>
        <v>Versatile kitchen appliance for quick cooking, reheating, and efficient defrosting.</v>
      </c>
      <c r="S67" s="4" t="str">
        <f>IFERROR(__xludf.DUMMYFUNCTION("AI(""DO A SENTIMENT ANALYSIS FOR THIS TABLE"")"),"Mixed")</f>
        <v>Mixed</v>
      </c>
    </row>
    <row r="68" ht="22.5" customHeight="1">
      <c r="A68" s="3">
        <v>67.0</v>
      </c>
      <c r="B68" s="3" t="s">
        <v>306</v>
      </c>
      <c r="C68" s="3" t="s">
        <v>307</v>
      </c>
      <c r="D68" s="3" t="s">
        <v>235</v>
      </c>
      <c r="E68" s="3">
        <v>15.99</v>
      </c>
      <c r="F68" s="3">
        <v>9.25</v>
      </c>
      <c r="G68" s="3">
        <v>2.64</v>
      </c>
      <c r="H68" s="3">
        <v>88.0</v>
      </c>
      <c r="I68" s="3" t="s">
        <v>308</v>
      </c>
      <c r="K68" s="3">
        <v>3.0</v>
      </c>
      <c r="L68" s="3" t="s">
        <v>33</v>
      </c>
      <c r="M68" s="3" t="s">
        <v>76</v>
      </c>
      <c r="N68" s="3" t="s">
        <v>26</v>
      </c>
      <c r="O68" s="3" t="s">
        <v>309</v>
      </c>
      <c r="P68" s="3" t="s">
        <v>133</v>
      </c>
      <c r="Q68" s="3">
        <v>45.0</v>
      </c>
      <c r="R68" s="4" t="str">
        <f>IFERROR(__xludf.DUMMYFUNCTION("AI(""Summarize this description using 10 words"")"),"Stylish, space-saving kitchen organizer to keep mugs accessible and neat.")</f>
        <v>Stylish, space-saving kitchen organizer to keep mugs accessible and neat.</v>
      </c>
      <c r="S68" s="4" t="str">
        <f>IFERROR(__xludf.DUMMYFUNCTION("AI(""DO A SENTIMENT ANALYSIS FOR THIS TABLE"")"),"Mixed")</f>
        <v>Mixed</v>
      </c>
    </row>
    <row r="69" ht="22.5" customHeight="1">
      <c r="A69" s="3">
        <v>68.0</v>
      </c>
      <c r="B69" s="3" t="s">
        <v>310</v>
      </c>
      <c r="C69" s="3" t="s">
        <v>311</v>
      </c>
      <c r="D69" s="3" t="s">
        <v>235</v>
      </c>
      <c r="E69" s="3">
        <v>24.99</v>
      </c>
      <c r="F69" s="3">
        <v>3.0</v>
      </c>
      <c r="G69" s="3">
        <v>2.79</v>
      </c>
      <c r="H69" s="3">
        <v>90.0</v>
      </c>
      <c r="I69" s="3" t="s">
        <v>312</v>
      </c>
      <c r="K69" s="3">
        <v>8.0</v>
      </c>
      <c r="L69" s="3" t="s">
        <v>33</v>
      </c>
      <c r="M69" s="3" t="s">
        <v>25</v>
      </c>
      <c r="N69" s="3" t="s">
        <v>26</v>
      </c>
      <c r="O69" s="3" t="s">
        <v>313</v>
      </c>
      <c r="P69" s="3" t="s">
        <v>133</v>
      </c>
      <c r="Q69" s="3">
        <v>17.0</v>
      </c>
      <c r="R69" s="4" t="str">
        <f>IFERROR(__xludf.DUMMYFUNCTION("AI(""Summarize this description using 10 words"")"),"Versatile non-stick pan for frying and sautéing with easy cleanup.")</f>
        <v>Versatile non-stick pan for frying and sautéing with easy cleanup.</v>
      </c>
      <c r="S69" s="4" t="str">
        <f>IFERROR(__xludf.DUMMYFUNCTION("AI(""DO A SENTIMENT ANALYSIS FOR THIS TABLE"")"),"Mixed")</f>
        <v>Mixed</v>
      </c>
    </row>
    <row r="70" ht="22.5" customHeight="1">
      <c r="A70" s="3">
        <v>69.0</v>
      </c>
      <c r="B70" s="3" t="s">
        <v>314</v>
      </c>
      <c r="C70" s="3" t="s">
        <v>315</v>
      </c>
      <c r="D70" s="3" t="s">
        <v>235</v>
      </c>
      <c r="E70" s="3">
        <v>3.99</v>
      </c>
      <c r="F70" s="3">
        <v>7.31</v>
      </c>
      <c r="G70" s="3">
        <v>3.65</v>
      </c>
      <c r="H70" s="3">
        <v>66.0</v>
      </c>
      <c r="I70" s="3" t="s">
        <v>316</v>
      </c>
      <c r="K70" s="3">
        <v>4.0</v>
      </c>
      <c r="L70" s="3" t="s">
        <v>33</v>
      </c>
      <c r="M70" s="3" t="s">
        <v>42</v>
      </c>
      <c r="N70" s="3" t="s">
        <v>26</v>
      </c>
      <c r="O70" s="3" t="s">
        <v>317</v>
      </c>
      <c r="P70" s="3" t="s">
        <v>64</v>
      </c>
      <c r="Q70" s="3">
        <v>6.0</v>
      </c>
      <c r="R70" s="4" t="str">
        <f>IFERROR(__xludf.DUMMYFUNCTION("AI(""Summarize this description using 10 words"")"),"Classic, durable, stylish dishware for daily meals and special occasions.")</f>
        <v>Classic, durable, stylish dishware for daily meals and special occasions.</v>
      </c>
      <c r="S70" s="4" t="str">
        <f>IFERROR(__xludf.DUMMYFUNCTION("AI(""DO A SENTIMENT ANALYSIS FOR THIS TABLE"")"),"Mixed")</f>
        <v>Mixed</v>
      </c>
    </row>
    <row r="71" ht="22.5" customHeight="1">
      <c r="A71" s="3">
        <v>70.0</v>
      </c>
      <c r="B71" s="3" t="s">
        <v>318</v>
      </c>
      <c r="C71" s="3" t="s">
        <v>319</v>
      </c>
      <c r="D71" s="3" t="s">
        <v>235</v>
      </c>
      <c r="E71" s="3">
        <v>6.99</v>
      </c>
      <c r="F71" s="3">
        <v>14.52</v>
      </c>
      <c r="G71" s="3">
        <v>4.42</v>
      </c>
      <c r="H71" s="3">
        <v>82.0</v>
      </c>
      <c r="I71" s="3" t="s">
        <v>320</v>
      </c>
      <c r="K71" s="3">
        <v>7.0</v>
      </c>
      <c r="L71" s="3" t="s">
        <v>141</v>
      </c>
      <c r="M71" s="3" t="s">
        <v>49</v>
      </c>
      <c r="N71" s="3" t="s">
        <v>26</v>
      </c>
      <c r="O71" s="3" t="s">
        <v>321</v>
      </c>
      <c r="P71" s="3" t="s">
        <v>133</v>
      </c>
      <c r="Q71" s="3">
        <v>23.0</v>
      </c>
      <c r="R71" s="4" t="str">
        <f>IFERROR(__xludf.DUMMYFUNCTION("AI(""Summarize this description using 10 words"")"),"Versatile kitchen tongs suitable for various cooking and serving tasks")</f>
        <v>Versatile kitchen tongs suitable for various cooking and serving tasks</v>
      </c>
      <c r="S71" s="4" t="str">
        <f>IFERROR(__xludf.DUMMYFUNCTION("AI(""DO A SENTIMENT ANALYSIS FOR THIS TABLE"")"),"Positive")</f>
        <v>Positive</v>
      </c>
    </row>
    <row r="72" ht="22.5" customHeight="1">
      <c r="A72" s="3">
        <v>71.0</v>
      </c>
      <c r="B72" s="3" t="s">
        <v>322</v>
      </c>
      <c r="C72" s="3" t="s">
        <v>323</v>
      </c>
      <c r="D72" s="3" t="s">
        <v>235</v>
      </c>
      <c r="E72" s="3">
        <v>39.99</v>
      </c>
      <c r="F72" s="3">
        <v>5.7</v>
      </c>
      <c r="G72" s="3">
        <v>3.22</v>
      </c>
      <c r="H72" s="3">
        <v>40.0</v>
      </c>
      <c r="I72" s="3" t="s">
        <v>324</v>
      </c>
      <c r="K72" s="3">
        <v>7.0</v>
      </c>
      <c r="L72" s="3" t="s">
        <v>33</v>
      </c>
      <c r="M72" s="3" t="s">
        <v>76</v>
      </c>
      <c r="N72" s="3" t="s">
        <v>26</v>
      </c>
      <c r="O72" s="3" t="s">
        <v>325</v>
      </c>
      <c r="P72" s="3" t="s">
        <v>64</v>
      </c>
      <c r="Q72" s="3">
        <v>10.0</v>
      </c>
      <c r="R72" s="4" t="str">
        <f>IFERROR(__xludf.DUMMYFUNCTION("AI(""Summarize this description using 10 words"")"),"Stylish silver pot for boiling and simmering with glass cap.")</f>
        <v>Stylish silver pot for boiling and simmering with glass cap.</v>
      </c>
      <c r="S72" s="4" t="str">
        <f>IFERROR(__xludf.DUMMYFUNCTION("AI(""DO A SENTIMENT ANALYSIS FOR THIS TABLE"")"),"Mixed")</f>
        <v>Mixed</v>
      </c>
    </row>
    <row r="73" ht="22.5" customHeight="1">
      <c r="A73" s="3">
        <v>72.0</v>
      </c>
      <c r="B73" s="3" t="s">
        <v>326</v>
      </c>
      <c r="C73" s="3" t="s">
        <v>327</v>
      </c>
      <c r="D73" s="3" t="s">
        <v>235</v>
      </c>
      <c r="E73" s="3">
        <v>8.99</v>
      </c>
      <c r="F73" s="3">
        <v>13.35</v>
      </c>
      <c r="G73" s="3">
        <v>3.4</v>
      </c>
      <c r="H73" s="3">
        <v>88.0</v>
      </c>
      <c r="I73" s="3" t="s">
        <v>328</v>
      </c>
      <c r="K73" s="3">
        <v>8.0</v>
      </c>
      <c r="L73" s="3" t="s">
        <v>93</v>
      </c>
      <c r="M73" s="3" t="s">
        <v>42</v>
      </c>
      <c r="N73" s="3" t="s">
        <v>26</v>
      </c>
      <c r="O73" s="3" t="s">
        <v>329</v>
      </c>
      <c r="P73" s="3" t="s">
        <v>36</v>
      </c>
      <c r="Q73" s="3">
        <v>34.0</v>
      </c>
      <c r="R73" s="4" t="str">
        <f>IFERROR(__xludf.DUMMYFUNCTION("AI(""Summarize this description using 10 words"")"),"Slotted kitchen utensil for flipping food and draining excess liquid.")</f>
        <v>Slotted kitchen utensil for flipping food and draining excess liquid.</v>
      </c>
      <c r="S73" s="4" t="str">
        <f>IFERROR(__xludf.DUMMYFUNCTION("AI(""DO A SENTIMENT ANALYSIS FOR THIS TABLE"")"),"Mixed")</f>
        <v>Mixed</v>
      </c>
    </row>
    <row r="74" ht="22.5" customHeight="1">
      <c r="A74" s="3">
        <v>73.0</v>
      </c>
      <c r="B74" s="3" t="s">
        <v>330</v>
      </c>
      <c r="C74" s="3" t="s">
        <v>331</v>
      </c>
      <c r="D74" s="3" t="s">
        <v>235</v>
      </c>
      <c r="E74" s="3">
        <v>19.99</v>
      </c>
      <c r="F74" s="3">
        <v>12.09</v>
      </c>
      <c r="G74" s="3">
        <v>4.87</v>
      </c>
      <c r="H74" s="3">
        <v>79.0</v>
      </c>
      <c r="I74" s="3" t="s">
        <v>308</v>
      </c>
      <c r="K74" s="3">
        <v>7.0</v>
      </c>
      <c r="L74" s="3" t="s">
        <v>24</v>
      </c>
      <c r="M74" s="3" t="s">
        <v>56</v>
      </c>
      <c r="N74" s="3" t="s">
        <v>26</v>
      </c>
      <c r="O74" s="3" t="s">
        <v>332</v>
      </c>
      <c r="P74" s="3" t="s">
        <v>36</v>
      </c>
      <c r="Q74" s="3">
        <v>18.0</v>
      </c>
      <c r="R74" s="4" t="str">
        <f>IFERROR(__xludf.DUMMYFUNCTION("AI(""Summarize this description using 10 words"")"),"Stylish organizer keeps spices neatly arranged and within easy reach.")</f>
        <v>Stylish organizer keeps spices neatly arranged and within easy reach.</v>
      </c>
      <c r="S74" s="4" t="str">
        <f>IFERROR(__xludf.DUMMYFUNCTION("AI(""DO A SENTIMENT ANALYSIS FOR THIS TABLE"")"),"Mixed")</f>
        <v>Mixed</v>
      </c>
    </row>
    <row r="75" ht="22.5" customHeight="1">
      <c r="A75" s="3">
        <v>74.0</v>
      </c>
      <c r="B75" s="3" t="s">
        <v>333</v>
      </c>
      <c r="C75" s="3" t="s">
        <v>334</v>
      </c>
      <c r="D75" s="3" t="s">
        <v>235</v>
      </c>
      <c r="E75" s="3">
        <v>4.99</v>
      </c>
      <c r="F75" s="3">
        <v>1.53</v>
      </c>
      <c r="G75" s="3">
        <v>4.03</v>
      </c>
      <c r="H75" s="3">
        <v>59.0</v>
      </c>
      <c r="I75" s="3" t="s">
        <v>236</v>
      </c>
      <c r="K75" s="3">
        <v>6.0</v>
      </c>
      <c r="L75" s="3" t="s">
        <v>33</v>
      </c>
      <c r="M75" s="3" t="s">
        <v>42</v>
      </c>
      <c r="N75" s="3" t="s">
        <v>26</v>
      </c>
      <c r="O75" s="3" t="s">
        <v>335</v>
      </c>
      <c r="P75" s="3" t="s">
        <v>64</v>
      </c>
      <c r="Q75" s="3">
        <v>15.0</v>
      </c>
      <c r="R75" s="4" t="str">
        <f>IFERROR(__xludf.DUMMYFUNCTION("AI(""Summarize this description using 10 words"")"),"Versatile, ergonomic, and durable spoon for stirring, serving, and tasting.")</f>
        <v>Versatile, ergonomic, and durable spoon for stirring, serving, and tasting.</v>
      </c>
      <c r="S75" s="4" t="str">
        <f>IFERROR(__xludf.DUMMYFUNCTION("AI(""DO A SENTIMENT ANALYSIS FOR THIS TABLE"")"),"Mixed")</f>
        <v>Mixed</v>
      </c>
    </row>
    <row r="76" ht="22.5" customHeight="1">
      <c r="A76" s="3">
        <v>75.0</v>
      </c>
      <c r="B76" s="3" t="s">
        <v>336</v>
      </c>
      <c r="C76" s="3" t="s">
        <v>337</v>
      </c>
      <c r="D76" s="3" t="s">
        <v>235</v>
      </c>
      <c r="E76" s="3">
        <v>16.99</v>
      </c>
      <c r="F76" s="3">
        <v>7.48</v>
      </c>
      <c r="G76" s="3">
        <v>4.62</v>
      </c>
      <c r="H76" s="3">
        <v>71.0</v>
      </c>
      <c r="I76" s="3" t="s">
        <v>338</v>
      </c>
      <c r="K76" s="3">
        <v>10.0</v>
      </c>
      <c r="L76" s="3" t="s">
        <v>99</v>
      </c>
      <c r="M76" s="3" t="s">
        <v>34</v>
      </c>
      <c r="N76" s="3" t="s">
        <v>26</v>
      </c>
      <c r="O76" s="3" t="s">
        <v>339</v>
      </c>
      <c r="P76" s="3" t="s">
        <v>36</v>
      </c>
      <c r="Q76" s="3">
        <v>23.0</v>
      </c>
      <c r="R76" s="4" t="str">
        <f>IFERROR(__xludf.DUMMYFUNCTION("AI(""Summarize this description using 10 words"")"),"Versatile and stylish tray for serving snacks and entertaining guests")</f>
        <v>Versatile and stylish tray for serving snacks and entertaining guests</v>
      </c>
      <c r="S76" s="4" t="str">
        <f>IFERROR(__xludf.DUMMYFUNCTION("AI(""DO A SENTIMENT ANALYSIS FOR THIS TABLE"")"),"Positive")</f>
        <v>Positive</v>
      </c>
    </row>
    <row r="77" ht="22.5" customHeight="1">
      <c r="A77" s="3">
        <v>76.0</v>
      </c>
      <c r="B77" s="3" t="s">
        <v>340</v>
      </c>
      <c r="C77" s="3" t="s">
        <v>341</v>
      </c>
      <c r="D77" s="3" t="s">
        <v>235</v>
      </c>
      <c r="E77" s="3">
        <v>11.99</v>
      </c>
      <c r="F77" s="3">
        <v>9.75</v>
      </c>
      <c r="G77" s="3">
        <v>2.92</v>
      </c>
      <c r="H77" s="3">
        <v>80.0</v>
      </c>
      <c r="I77" s="3" t="s">
        <v>342</v>
      </c>
      <c r="K77" s="3">
        <v>7.0</v>
      </c>
      <c r="L77" s="3" t="s">
        <v>48</v>
      </c>
      <c r="M77" s="3" t="s">
        <v>34</v>
      </c>
      <c r="N77" s="3" t="s">
        <v>26</v>
      </c>
      <c r="O77" s="3" t="s">
        <v>343</v>
      </c>
      <c r="P77" s="3" t="s">
        <v>133</v>
      </c>
      <c r="Q77" s="3">
        <v>11.0</v>
      </c>
      <c r="R77" s="4" t="str">
        <f>IFERROR(__xludf.DUMMYFUNCTION("AI(""Summarize this description using 10 words"")"),"Classic wooden tool for rolling dough to achieve uniform thickness.")</f>
        <v>Classic wooden tool for rolling dough to achieve uniform thickness.</v>
      </c>
      <c r="S77" s="4" t="str">
        <f>IFERROR(__xludf.DUMMYFUNCTION("AI(""DO A SENTIMENT ANALYSIS FOR THIS TABLE"")"),"Mixed")</f>
        <v>Mixed</v>
      </c>
    </row>
    <row r="78" ht="22.5" customHeight="1">
      <c r="A78" s="3">
        <v>77.0</v>
      </c>
      <c r="B78" s="3" t="s">
        <v>344</v>
      </c>
      <c r="C78" s="3" t="s">
        <v>345</v>
      </c>
      <c r="D78" s="3" t="s">
        <v>235</v>
      </c>
      <c r="E78" s="3">
        <v>5.99</v>
      </c>
      <c r="F78" s="3">
        <v>12.48</v>
      </c>
      <c r="G78" s="3">
        <v>4.24</v>
      </c>
      <c r="H78" s="3">
        <v>35.0</v>
      </c>
      <c r="I78" s="3" t="s">
        <v>346</v>
      </c>
      <c r="K78" s="3">
        <v>7.0</v>
      </c>
      <c r="L78" s="3" t="s">
        <v>55</v>
      </c>
      <c r="M78" s="3" t="s">
        <v>25</v>
      </c>
      <c r="N78" s="3" t="s">
        <v>26</v>
      </c>
      <c r="O78" s="3" t="s">
        <v>347</v>
      </c>
      <c r="P78" s="3" t="s">
        <v>64</v>
      </c>
      <c r="Q78" s="3">
        <v>6.0</v>
      </c>
      <c r="R78" s="4" t="str">
        <f>IFERROR(__xludf.DUMMYFUNCTION("AI(""Summarize this description using 10 words"")"),"Handy yellow tool for peeling fruits and vegetables with ease.")</f>
        <v>Handy yellow tool for peeling fruits and vegetables with ease.</v>
      </c>
      <c r="S78" s="4" t="str">
        <f>IFERROR(__xludf.DUMMYFUNCTION("AI(""DO A SENTIMENT ANALYSIS FOR THIS TABLE"")"),"Mixed")</f>
        <v>Mixed</v>
      </c>
    </row>
    <row r="79" ht="22.5" customHeight="1">
      <c r="A79" s="3">
        <v>78.0</v>
      </c>
      <c r="B79" s="3" t="s">
        <v>348</v>
      </c>
      <c r="C79" s="3" t="s">
        <v>349</v>
      </c>
      <c r="D79" s="3" t="s">
        <v>350</v>
      </c>
      <c r="E79" s="3">
        <v>1999.99</v>
      </c>
      <c r="F79" s="3">
        <v>4.69</v>
      </c>
      <c r="G79" s="3">
        <v>3.65</v>
      </c>
      <c r="H79" s="3">
        <v>24.0</v>
      </c>
      <c r="I79" s="3" t="s">
        <v>351</v>
      </c>
      <c r="J79" s="3" t="s">
        <v>113</v>
      </c>
      <c r="K79" s="3">
        <v>9.0</v>
      </c>
      <c r="L79" s="3" t="s">
        <v>48</v>
      </c>
      <c r="M79" s="3" t="s">
        <v>34</v>
      </c>
      <c r="N79" s="3" t="s">
        <v>26</v>
      </c>
      <c r="O79" s="3" t="s">
        <v>352</v>
      </c>
      <c r="P79" s="3" t="s">
        <v>64</v>
      </c>
      <c r="Q79" s="3">
        <v>1.0</v>
      </c>
      <c r="R79" s="4" t="str">
        <f>IFERROR(__xludf.DUMMYFUNCTION("AI(""Summarize this description using 10 words"")"),"Powerful sleek laptop featuring M1 Pro chip and Retina display.")</f>
        <v>Powerful sleek laptop featuring M1 Pro chip and Retina display.</v>
      </c>
      <c r="S79" s="4" t="str">
        <f>IFERROR(__xludf.DUMMYFUNCTION("AI(""DO A SENTIMENT ANALYSIS FOR THIS TABLE"")"),"Positive")</f>
        <v>Positive</v>
      </c>
    </row>
    <row r="80" ht="22.5" customHeight="1">
      <c r="A80" s="3">
        <v>79.0</v>
      </c>
      <c r="B80" s="3" t="s">
        <v>353</v>
      </c>
      <c r="C80" s="3" t="s">
        <v>354</v>
      </c>
      <c r="D80" s="3" t="s">
        <v>350</v>
      </c>
      <c r="E80" s="3">
        <v>1799.99</v>
      </c>
      <c r="F80" s="3">
        <v>11.14</v>
      </c>
      <c r="G80" s="3">
        <v>3.95</v>
      </c>
      <c r="H80" s="3">
        <v>45.0</v>
      </c>
      <c r="I80" s="3" t="s">
        <v>355</v>
      </c>
      <c r="J80" s="3" t="s">
        <v>356</v>
      </c>
      <c r="K80" s="3">
        <v>9.0</v>
      </c>
      <c r="L80" s="3" t="s">
        <v>48</v>
      </c>
      <c r="M80" s="3" t="s">
        <v>76</v>
      </c>
      <c r="N80" s="3" t="s">
        <v>26</v>
      </c>
      <c r="O80" s="3" t="s">
        <v>357</v>
      </c>
      <c r="P80" s="3" t="s">
        <v>36</v>
      </c>
      <c r="Q80" s="3">
        <v>1.0</v>
      </c>
      <c r="R80" s="4" t="str">
        <f>IFERROR(__xludf.DUMMYFUNCTION("AI(""Summarize this description using 10 words"")"),"High performance dual screen laptop providing productivity and versatility for creatives.")</f>
        <v>High performance dual screen laptop providing productivity and versatility for creatives.</v>
      </c>
      <c r="S80" s="4" t="str">
        <f>IFERROR(__xludf.DUMMYFUNCTION("AI(""DO A SENTIMENT ANALYSIS FOR THIS TABLE"")"),"Positive")</f>
        <v>Positive</v>
      </c>
    </row>
    <row r="81" ht="22.5" customHeight="1">
      <c r="A81" s="3">
        <v>80.0</v>
      </c>
      <c r="B81" s="3" t="s">
        <v>358</v>
      </c>
      <c r="C81" s="3" t="s">
        <v>359</v>
      </c>
      <c r="D81" s="3" t="s">
        <v>350</v>
      </c>
      <c r="E81" s="3">
        <v>1399.99</v>
      </c>
      <c r="F81" s="3">
        <v>9.38</v>
      </c>
      <c r="G81" s="3">
        <v>4.98</v>
      </c>
      <c r="H81" s="3">
        <v>75.0</v>
      </c>
      <c r="I81" s="3" t="s">
        <v>355</v>
      </c>
      <c r="J81" s="3" t="s">
        <v>360</v>
      </c>
      <c r="K81" s="3">
        <v>9.0</v>
      </c>
      <c r="L81" s="3" t="s">
        <v>141</v>
      </c>
      <c r="M81" s="3" t="s">
        <v>56</v>
      </c>
      <c r="N81" s="3" t="s">
        <v>26</v>
      </c>
      <c r="O81" s="3" t="s">
        <v>361</v>
      </c>
      <c r="P81" s="3" t="s">
        <v>107</v>
      </c>
      <c r="Q81" s="3">
        <v>1.0</v>
      </c>
      <c r="R81" s="4" t="str">
        <f>IFERROR(__xludf.DUMMYFUNCTION("AI(""Summarize this description using 10 words"")"),"Slim, stylish laptop with high-resolution touchscreen for premium portable experience.")</f>
        <v>Slim, stylish laptop with high-resolution touchscreen for premium portable experience.</v>
      </c>
      <c r="S81" s="4" t="str">
        <f>IFERROR(__xludf.DUMMYFUNCTION("AI(""DO A SENTIMENT ANALYSIS FOR THIS TABLE"")"),"Positive")</f>
        <v>Positive</v>
      </c>
    </row>
    <row r="82" ht="22.5" customHeight="1">
      <c r="A82" s="3">
        <v>81.0</v>
      </c>
      <c r="B82" s="3" t="s">
        <v>362</v>
      </c>
      <c r="C82" s="3" t="s">
        <v>363</v>
      </c>
      <c r="D82" s="3" t="s">
        <v>350</v>
      </c>
      <c r="E82" s="3">
        <v>1099.99</v>
      </c>
      <c r="F82" s="3">
        <v>6.55</v>
      </c>
      <c r="G82" s="3">
        <v>2.86</v>
      </c>
      <c r="H82" s="3">
        <v>40.0</v>
      </c>
      <c r="I82" s="3" t="s">
        <v>355</v>
      </c>
      <c r="J82" s="3" t="s">
        <v>364</v>
      </c>
      <c r="K82" s="3">
        <v>9.0</v>
      </c>
      <c r="L82" s="3" t="s">
        <v>82</v>
      </c>
      <c r="M82" s="3" t="s">
        <v>34</v>
      </c>
      <c r="N82" s="3" t="s">
        <v>26</v>
      </c>
      <c r="O82" s="3" t="s">
        <v>365</v>
      </c>
      <c r="P82" s="3" t="s">
        <v>28</v>
      </c>
      <c r="Q82" s="3">
        <v>1.0</v>
      </c>
      <c r="R82" s="4" t="str">
        <f>IFERROR(__xludf.DUMMYFUNCTION("AI(""Summarize this description using 10 words"")"),"Portable 2-in-1 convertible laptop featuring a flexible hinge for versatility.")</f>
        <v>Portable 2-in-1 convertible laptop featuring a flexible hinge for versatility.</v>
      </c>
      <c r="S82" s="4" t="str">
        <f>IFERROR(__xludf.DUMMYFUNCTION("AI(""DO A SENTIMENT ANALYSIS FOR THIS TABLE"")"),"Mixed")</f>
        <v>Mixed</v>
      </c>
    </row>
    <row r="83" ht="22.5" customHeight="1">
      <c r="A83" s="3">
        <v>82.0</v>
      </c>
      <c r="B83" s="3" t="s">
        <v>366</v>
      </c>
      <c r="C83" s="3" t="s">
        <v>367</v>
      </c>
      <c r="D83" s="3" t="s">
        <v>350</v>
      </c>
      <c r="E83" s="3">
        <v>1499.99</v>
      </c>
      <c r="F83" s="3">
        <v>11.89</v>
      </c>
      <c r="G83" s="3">
        <v>2.67</v>
      </c>
      <c r="H83" s="3">
        <v>74.0</v>
      </c>
      <c r="I83" s="3" t="s">
        <v>355</v>
      </c>
      <c r="J83" s="3" t="s">
        <v>368</v>
      </c>
      <c r="K83" s="3">
        <v>2.0</v>
      </c>
      <c r="L83" s="3" t="s">
        <v>105</v>
      </c>
      <c r="M83" s="3" t="s">
        <v>34</v>
      </c>
      <c r="N83" s="3" t="s">
        <v>26</v>
      </c>
      <c r="O83" s="3" t="s">
        <v>369</v>
      </c>
      <c r="P83" s="3" t="s">
        <v>107</v>
      </c>
      <c r="Q83" s="3">
        <v>1.0</v>
      </c>
      <c r="R83" s="4" t="str">
        <f>IFERROR(__xludf.DUMMYFUNCTION("AI(""Summarize this description using 10 words"")"),"Powerful compact laptop with borderless InfinityEdge display and high-end performance.")</f>
        <v>Powerful compact laptop with borderless InfinityEdge display and high-end performance.</v>
      </c>
      <c r="S83" s="4" t="str">
        <f>IFERROR(__xludf.DUMMYFUNCTION("AI(""DO A SENTIMENT ANALYSIS FOR THIS TABLE"")"),"Mixed")</f>
        <v>Mixed</v>
      </c>
    </row>
    <row r="84" ht="22.5" customHeight="1">
      <c r="A84" s="3">
        <v>83.0</v>
      </c>
      <c r="B84" s="3" t="s">
        <v>370</v>
      </c>
      <c r="C84" s="3" t="s">
        <v>371</v>
      </c>
      <c r="D84" s="3" t="s">
        <v>372</v>
      </c>
      <c r="E84" s="3">
        <v>29.99</v>
      </c>
      <c r="F84" s="3">
        <v>15.35</v>
      </c>
      <c r="G84" s="3">
        <v>3.64</v>
      </c>
      <c r="H84" s="3">
        <v>38.0</v>
      </c>
      <c r="I84" s="3" t="s">
        <v>373</v>
      </c>
      <c r="J84" s="3" t="s">
        <v>374</v>
      </c>
      <c r="K84" s="3">
        <v>4.0</v>
      </c>
      <c r="L84" s="3" t="s">
        <v>48</v>
      </c>
      <c r="M84" s="3" t="s">
        <v>25</v>
      </c>
      <c r="N84" s="3" t="s">
        <v>26</v>
      </c>
      <c r="O84" s="3" t="s">
        <v>375</v>
      </c>
      <c r="P84" s="3" t="s">
        <v>133</v>
      </c>
      <c r="Q84" s="3">
        <v>18.0</v>
      </c>
      <c r="R84" s="4" t="str">
        <f>IFERROR(__xludf.DUMMYFUNCTION("AI(""Summarize this description using 10 words"")"),"Stylish, high-quality men's check shirt for casual and semi-formal wear.")</f>
        <v>Stylish, high-quality men's check shirt for casual and semi-formal wear.</v>
      </c>
      <c r="S84" s="4" t="str">
        <f>IFERROR(__xludf.DUMMYFUNCTION("AI(""DO A SENTIMENT ANALYSIS FOR THIS TABLE"")"),"Mixed")</f>
        <v>Mixed</v>
      </c>
    </row>
    <row r="85" ht="22.5" customHeight="1">
      <c r="A85" s="3">
        <v>84.0</v>
      </c>
      <c r="B85" s="3" t="s">
        <v>376</v>
      </c>
      <c r="C85" s="3" t="s">
        <v>377</v>
      </c>
      <c r="D85" s="3" t="s">
        <v>372</v>
      </c>
      <c r="E85" s="3">
        <v>24.99</v>
      </c>
      <c r="F85" s="3">
        <v>0.94</v>
      </c>
      <c r="G85" s="3">
        <v>3.18</v>
      </c>
      <c r="H85" s="3">
        <v>90.0</v>
      </c>
      <c r="I85" s="3" t="s">
        <v>378</v>
      </c>
      <c r="J85" s="3" t="s">
        <v>379</v>
      </c>
      <c r="K85" s="3">
        <v>4.0</v>
      </c>
      <c r="L85" s="3" t="s">
        <v>48</v>
      </c>
      <c r="M85" s="3" t="s">
        <v>56</v>
      </c>
      <c r="N85" s="3" t="s">
        <v>26</v>
      </c>
      <c r="O85" s="3" t="s">
        <v>380</v>
      </c>
      <c r="P85" s="3" t="s">
        <v>133</v>
      </c>
      <c r="Q85" s="3">
        <v>16.0</v>
      </c>
      <c r="R85" s="4" t="str">
        <f>IFERROR(__xludf.DUMMYFUNCTION("AI(""Summarize this description using 10 words"")"),"Cool, casual shirt for gamers featuring the Aorus logo.")</f>
        <v>Cool, casual shirt for gamers featuring the Aorus logo.</v>
      </c>
      <c r="S85" s="4" t="str">
        <f>IFERROR(__xludf.DUMMYFUNCTION("AI(""DO A SENTIMENT ANALYSIS FOR THIS TABLE"")"),"Positive")</f>
        <v>Positive</v>
      </c>
    </row>
    <row r="86" ht="22.5" customHeight="1">
      <c r="A86" s="3">
        <v>85.0</v>
      </c>
      <c r="B86" s="3" t="s">
        <v>381</v>
      </c>
      <c r="C86" s="3" t="s">
        <v>382</v>
      </c>
      <c r="D86" s="3" t="s">
        <v>372</v>
      </c>
      <c r="E86" s="3">
        <v>34.99</v>
      </c>
      <c r="F86" s="3">
        <v>19.5</v>
      </c>
      <c r="G86" s="3">
        <v>3.46</v>
      </c>
      <c r="H86" s="3">
        <v>82.0</v>
      </c>
      <c r="I86" s="3" t="s">
        <v>373</v>
      </c>
      <c r="J86" s="3" t="s">
        <v>383</v>
      </c>
      <c r="K86" s="3">
        <v>3.0</v>
      </c>
      <c r="L86" s="3" t="s">
        <v>24</v>
      </c>
      <c r="M86" s="3" t="s">
        <v>42</v>
      </c>
      <c r="N86" s="3" t="s">
        <v>26</v>
      </c>
      <c r="O86" s="3" t="s">
        <v>384</v>
      </c>
      <c r="P86" s="3" t="s">
        <v>36</v>
      </c>
      <c r="Q86" s="3">
        <v>13.0</v>
      </c>
      <c r="R86" s="4" t="str">
        <f>IFERROR(__xludf.DUMMYFUNCTION("AI(""Summarize this description using 10 words"")"),"Timeless men's plaid shirt with comfortable fit and casual style.")</f>
        <v>Timeless men's plaid shirt with comfortable fit and casual style.</v>
      </c>
      <c r="S86" s="4" t="str">
        <f>IFERROR(__xludf.DUMMYFUNCTION("AI(""DO A SENTIMENT ANALYSIS FOR THIS TABLE"")"),"Mixed")</f>
        <v>Mixed</v>
      </c>
    </row>
    <row r="87" ht="22.5" customHeight="1">
      <c r="A87" s="3">
        <v>86.0</v>
      </c>
      <c r="B87" s="3" t="s">
        <v>385</v>
      </c>
      <c r="C87" s="3" t="s">
        <v>386</v>
      </c>
      <c r="D87" s="3" t="s">
        <v>372</v>
      </c>
      <c r="E87" s="3">
        <v>19.99</v>
      </c>
      <c r="F87" s="3">
        <v>6.83</v>
      </c>
      <c r="G87" s="3">
        <v>2.9</v>
      </c>
      <c r="H87" s="3">
        <v>2.0</v>
      </c>
      <c r="I87" s="3" t="s">
        <v>373</v>
      </c>
      <c r="J87" s="3" t="s">
        <v>387</v>
      </c>
      <c r="K87" s="3">
        <v>2.0</v>
      </c>
      <c r="L87" s="3" t="s">
        <v>48</v>
      </c>
      <c r="M87" s="3" t="s">
        <v>34</v>
      </c>
      <c r="N87" s="3" t="s">
        <v>77</v>
      </c>
      <c r="O87" s="3" t="s">
        <v>388</v>
      </c>
      <c r="P87" s="3" t="s">
        <v>133</v>
      </c>
      <c r="Q87" s="3">
        <v>4.0</v>
      </c>
      <c r="R87" s="4" t="str">
        <f>IFERROR(__xludf.DUMMYFUNCTION("AI(""Summarize this description using 10 words"")"),"Breezy and stylish short sleeve shirt for a polished look.")</f>
        <v>Breezy and stylish short sleeve shirt for a polished look.</v>
      </c>
      <c r="S87" s="4" t="str">
        <f>IFERROR(__xludf.DUMMYFUNCTION("AI(""DO A SENTIMENT ANALYSIS FOR THIS TABLE"")"),"Negative")</f>
        <v>Negative</v>
      </c>
    </row>
    <row r="88" ht="22.5" customHeight="1">
      <c r="A88" s="3">
        <v>87.0</v>
      </c>
      <c r="B88" s="3" t="s">
        <v>389</v>
      </c>
      <c r="C88" s="3" t="s">
        <v>390</v>
      </c>
      <c r="D88" s="3" t="s">
        <v>372</v>
      </c>
      <c r="E88" s="3">
        <v>27.99</v>
      </c>
      <c r="F88" s="3">
        <v>11.38</v>
      </c>
      <c r="G88" s="3">
        <v>2.72</v>
      </c>
      <c r="H88" s="3">
        <v>95.0</v>
      </c>
      <c r="I88" s="3" t="s">
        <v>373</v>
      </c>
      <c r="J88" s="3" t="s">
        <v>391</v>
      </c>
      <c r="K88" s="3">
        <v>10.0</v>
      </c>
      <c r="L88" s="3" t="s">
        <v>141</v>
      </c>
      <c r="M88" s="3" t="s">
        <v>42</v>
      </c>
      <c r="N88" s="3" t="s">
        <v>26</v>
      </c>
      <c r="O88" s="3" t="s">
        <v>392</v>
      </c>
      <c r="P88" s="3" t="s">
        <v>133</v>
      </c>
      <c r="Q88" s="3">
        <v>12.0</v>
      </c>
      <c r="R88" s="4" t="str">
        <f>IFERROR(__xludf.DUMMYFUNCTION("AI(""Summarize this description using 10 words"")"),"Classic versatile check pattern shirt for a smart polished look.")</f>
        <v>Classic versatile check pattern shirt for a smart polished look.</v>
      </c>
      <c r="S88" s="4" t="str">
        <f>IFERROR(__xludf.DUMMYFUNCTION("AI(""DO A SENTIMENT ANALYSIS FOR THIS TABLE"")"),"Mixed")</f>
        <v>Mixed</v>
      </c>
    </row>
    <row r="89" ht="22.5" customHeight="1">
      <c r="A89" s="3">
        <v>88.0</v>
      </c>
      <c r="B89" s="3" t="s">
        <v>393</v>
      </c>
      <c r="C89" s="3" t="s">
        <v>394</v>
      </c>
      <c r="D89" s="3" t="s">
        <v>395</v>
      </c>
      <c r="E89" s="3">
        <v>149.99</v>
      </c>
      <c r="F89" s="3">
        <v>4.12</v>
      </c>
      <c r="G89" s="3">
        <v>4.77</v>
      </c>
      <c r="H89" s="3">
        <v>7.0</v>
      </c>
      <c r="I89" s="3" t="s">
        <v>396</v>
      </c>
      <c r="J89" s="3" t="s">
        <v>397</v>
      </c>
      <c r="K89" s="3">
        <v>3.0</v>
      </c>
      <c r="L89" s="3" t="s">
        <v>33</v>
      </c>
      <c r="M89" s="3" t="s">
        <v>49</v>
      </c>
      <c r="N89" s="3" t="s">
        <v>26</v>
      </c>
      <c r="O89" s="3" t="s">
        <v>398</v>
      </c>
      <c r="P89" s="3" t="s">
        <v>28</v>
      </c>
      <c r="Q89" s="3">
        <v>1.0</v>
      </c>
      <c r="R89" s="4" t="str">
        <f>IFERROR(__xludf.DUMMYFUNCTION("AI(""Summarize this description using 10 words"")"),"Iconic basketball sneaker featuring stylish design and high performance features.")</f>
        <v>Iconic basketball sneaker featuring stylish design and high performance features.</v>
      </c>
      <c r="S89" s="4" t="str">
        <f>IFERROR(__xludf.DUMMYFUNCTION("AI(""DO A SENTIMENT ANALYSIS FOR THIS TABLE"")"),"Mixed")</f>
        <v>Mixed</v>
      </c>
    </row>
    <row r="90" ht="22.5" customHeight="1">
      <c r="A90" s="3">
        <v>89.0</v>
      </c>
      <c r="B90" s="3" t="s">
        <v>399</v>
      </c>
      <c r="C90" s="3" t="s">
        <v>400</v>
      </c>
      <c r="D90" s="3" t="s">
        <v>395</v>
      </c>
      <c r="E90" s="3">
        <v>79.99</v>
      </c>
      <c r="F90" s="3">
        <v>18.04</v>
      </c>
      <c r="G90" s="3">
        <v>3.88</v>
      </c>
      <c r="H90" s="3">
        <v>12.0</v>
      </c>
      <c r="I90" s="3" t="s">
        <v>401</v>
      </c>
      <c r="J90" s="3" t="s">
        <v>397</v>
      </c>
      <c r="K90" s="3">
        <v>9.0</v>
      </c>
      <c r="L90" s="3" t="s">
        <v>82</v>
      </c>
      <c r="M90" s="3" t="s">
        <v>34</v>
      </c>
      <c r="N90" s="3" t="s">
        <v>26</v>
      </c>
      <c r="O90" s="3" t="s">
        <v>402</v>
      </c>
      <c r="P90" s="3" t="s">
        <v>28</v>
      </c>
      <c r="Q90" s="3">
        <v>3.0</v>
      </c>
      <c r="R90" s="4" t="str">
        <f>IFERROR(__xludf.DUMMYFUNCTION("AI(""Summarize this description using 10 words"")"),"Baseball cleats designed for maximum traction, stability, and player performance.")</f>
        <v>Baseball cleats designed for maximum traction, stability, and player performance.</v>
      </c>
      <c r="S90" s="4" t="str">
        <f>IFERROR(__xludf.DUMMYFUNCTION("AI(""DO A SENTIMENT ANALYSIS FOR THIS TABLE"")"),"Mixed")</f>
        <v>Mixed</v>
      </c>
    </row>
    <row r="91" ht="22.5" customHeight="1">
      <c r="A91" s="3">
        <v>90.0</v>
      </c>
      <c r="B91" s="3" t="s">
        <v>403</v>
      </c>
      <c r="C91" s="3" t="s">
        <v>404</v>
      </c>
      <c r="D91" s="3" t="s">
        <v>395</v>
      </c>
      <c r="E91" s="3">
        <v>89.99</v>
      </c>
      <c r="F91" s="3">
        <v>4.2</v>
      </c>
      <c r="G91" s="3">
        <v>4.9</v>
      </c>
      <c r="H91" s="3">
        <v>90.0</v>
      </c>
      <c r="I91" s="3" t="s">
        <v>405</v>
      </c>
      <c r="J91" s="3" t="s">
        <v>406</v>
      </c>
      <c r="K91" s="3">
        <v>6.0</v>
      </c>
      <c r="L91" s="3" t="s">
        <v>99</v>
      </c>
      <c r="M91" s="3" t="s">
        <v>42</v>
      </c>
      <c r="N91" s="3" t="s">
        <v>26</v>
      </c>
      <c r="O91" s="3" t="s">
        <v>407</v>
      </c>
      <c r="P91" s="3" t="s">
        <v>64</v>
      </c>
      <c r="Q91" s="3">
        <v>10.0</v>
      </c>
      <c r="R91" s="4" t="str">
        <f>IFERROR(__xludf.DUMMYFUNCTION("AI(""Summarize this description using 10 words"")"),"Fashionable retro trainers offering modern comfort for casual everyday use.")</f>
        <v>Fashionable retro trainers offering modern comfort for casual everyday use.</v>
      </c>
      <c r="S91" s="4" t="str">
        <f>IFERROR(__xludf.DUMMYFUNCTION("AI(""DO A SENTIMENT ANALYSIS FOR THIS TABLE"")"),"Positive")</f>
        <v>Positive</v>
      </c>
    </row>
    <row r="92" ht="22.5" customHeight="1">
      <c r="A92" s="3">
        <v>91.0</v>
      </c>
      <c r="B92" s="3" t="s">
        <v>408</v>
      </c>
      <c r="C92" s="3" t="s">
        <v>409</v>
      </c>
      <c r="D92" s="3" t="s">
        <v>395</v>
      </c>
      <c r="E92" s="3">
        <v>119.99</v>
      </c>
      <c r="F92" s="3">
        <v>4.97</v>
      </c>
      <c r="G92" s="3">
        <v>4.77</v>
      </c>
      <c r="H92" s="3">
        <v>17.0</v>
      </c>
      <c r="I92" s="3" t="s">
        <v>396</v>
      </c>
      <c r="J92" s="3" t="s">
        <v>410</v>
      </c>
      <c r="K92" s="3">
        <v>7.0</v>
      </c>
      <c r="L92" s="3" t="s">
        <v>24</v>
      </c>
      <c r="M92" s="3" t="s">
        <v>25</v>
      </c>
      <c r="N92" s="3" t="s">
        <v>26</v>
      </c>
      <c r="O92" s="3" t="s">
        <v>411</v>
      </c>
      <c r="P92" s="3" t="s">
        <v>133</v>
      </c>
      <c r="Q92" s="3">
        <v>5.0</v>
      </c>
      <c r="R92" s="4" t="str">
        <f>IFERROR(__xludf.DUMMYFUNCTION("AI(""Summarize this description using 10 words"")"),"Stylish and functional off-white and red sports sneakers for enthusiasts.")</f>
        <v>Stylish and functional off-white and red sports sneakers for enthusiasts.</v>
      </c>
      <c r="S92" s="4" t="str">
        <f>IFERROR(__xludf.DUMMYFUNCTION("AI(""DO A SENTIMENT ANALYSIS FOR THIS TABLE"")"),"Positive")</f>
        <v>Positive</v>
      </c>
    </row>
    <row r="93" ht="22.5" customHeight="1">
      <c r="A93" s="3">
        <v>92.0</v>
      </c>
      <c r="B93" s="3" t="s">
        <v>412</v>
      </c>
      <c r="C93" s="3" t="s">
        <v>413</v>
      </c>
      <c r="D93" s="3" t="s">
        <v>395</v>
      </c>
      <c r="E93" s="3">
        <v>109.99</v>
      </c>
      <c r="F93" s="3">
        <v>0.04</v>
      </c>
      <c r="G93" s="3">
        <v>4.69</v>
      </c>
      <c r="H93" s="3">
        <v>62.0</v>
      </c>
      <c r="I93" s="3" t="s">
        <v>405</v>
      </c>
      <c r="J93" s="3" t="s">
        <v>410</v>
      </c>
      <c r="K93" s="3">
        <v>9.0</v>
      </c>
      <c r="L93" s="3" t="s">
        <v>41</v>
      </c>
      <c r="M93" s="3" t="s">
        <v>56</v>
      </c>
      <c r="N93" s="3" t="s">
        <v>26</v>
      </c>
      <c r="O93" s="3" t="s">
        <v>414</v>
      </c>
      <c r="P93" s="3" t="s">
        <v>107</v>
      </c>
      <c r="Q93" s="3">
        <v>3.0</v>
      </c>
      <c r="R93" s="4" t="str">
        <f>IFERROR(__xludf.DUMMYFUNCTION("AI(""Summarize this description using 10 words"")"),"Stylish sneakers with unique design providing comfort for casual occasions.")</f>
        <v>Stylish sneakers with unique design providing comfort for casual occasions.</v>
      </c>
      <c r="S93" s="4" t="str">
        <f>IFERROR(__xludf.DUMMYFUNCTION("AI(""DO A SENTIMENT ANALYSIS FOR THIS TABLE"")"),"Mixed")</f>
        <v>Mixed</v>
      </c>
    </row>
    <row r="94" ht="22.5" customHeight="1">
      <c r="A94" s="3">
        <v>93.0</v>
      </c>
      <c r="B94" s="3" t="s">
        <v>415</v>
      </c>
      <c r="C94" s="3" t="s">
        <v>416</v>
      </c>
      <c r="D94" s="3" t="s">
        <v>417</v>
      </c>
      <c r="E94" s="3">
        <v>89.99</v>
      </c>
      <c r="F94" s="3">
        <v>5.99</v>
      </c>
      <c r="G94" s="3">
        <v>4.19</v>
      </c>
      <c r="H94" s="3">
        <v>32.0</v>
      </c>
      <c r="I94" s="3" t="s">
        <v>418</v>
      </c>
      <c r="J94" s="3" t="s">
        <v>419</v>
      </c>
      <c r="K94" s="3">
        <v>10.0</v>
      </c>
      <c r="L94" s="3" t="s">
        <v>33</v>
      </c>
      <c r="M94" s="3" t="s">
        <v>76</v>
      </c>
      <c r="N94" s="3" t="s">
        <v>26</v>
      </c>
      <c r="O94" s="3" t="s">
        <v>420</v>
      </c>
      <c r="P94" s="3" t="s">
        <v>133</v>
      </c>
      <c r="Q94" s="3">
        <v>7.0</v>
      </c>
      <c r="R94" s="4" t="str">
        <f>IFERROR(__xludf.DUMMYFUNCTION("AI(""Summarize this description using 10 words"")"),"Classic stylish timepiece with genuine leather strap and sleek dial.")</f>
        <v>Classic stylish timepiece with genuine leather strap and sleek dial.</v>
      </c>
      <c r="S94" s="4" t="str">
        <f>IFERROR(__xludf.DUMMYFUNCTION("AI(""DO A SENTIMENT ANALYSIS FOR THIS TABLE"")"),"Mixed")</f>
        <v>Mixed</v>
      </c>
    </row>
    <row r="95" ht="22.5" customHeight="1">
      <c r="A95" s="3">
        <v>94.0</v>
      </c>
      <c r="B95" s="3" t="s">
        <v>421</v>
      </c>
      <c r="C95" s="3" t="s">
        <v>422</v>
      </c>
      <c r="D95" s="3" t="s">
        <v>417</v>
      </c>
      <c r="E95" s="3">
        <v>1499.99</v>
      </c>
      <c r="F95" s="3">
        <v>17.24</v>
      </c>
      <c r="G95" s="3">
        <v>3.87</v>
      </c>
      <c r="H95" s="3">
        <v>100.0</v>
      </c>
      <c r="I95" s="3" t="s">
        <v>423</v>
      </c>
      <c r="J95" s="3" t="s">
        <v>424</v>
      </c>
      <c r="K95" s="3">
        <v>4.0</v>
      </c>
      <c r="L95" s="3" t="s">
        <v>24</v>
      </c>
      <c r="M95" s="3" t="s">
        <v>42</v>
      </c>
      <c r="N95" s="3" t="s">
        <v>26</v>
      </c>
      <c r="O95" s="3" t="s">
        <v>425</v>
      </c>
      <c r="P95" s="3" t="s">
        <v>36</v>
      </c>
      <c r="Q95" s="3">
        <v>1.0</v>
      </c>
      <c r="R95" s="4" t="str">
        <f>IFERROR(__xludf.DUMMYFUNCTION("AI(""Summarize this description using 10 words"")"),"Elegant and refined watch known for its precision and craftsmanship.")</f>
        <v>Elegant and refined watch known for its precision and craftsmanship.</v>
      </c>
      <c r="S95" s="4" t="str">
        <f>IFERROR(__xludf.DUMMYFUNCTION("AI(""DO A SENTIMENT ANALYSIS FOR THIS TABLE"")"),"Mixed")</f>
        <v>Mixed</v>
      </c>
    </row>
    <row r="96" ht="22.5" customHeight="1">
      <c r="A96" s="3">
        <v>95.0</v>
      </c>
      <c r="B96" s="3" t="s">
        <v>426</v>
      </c>
      <c r="C96" s="3" t="s">
        <v>427</v>
      </c>
      <c r="D96" s="3" t="s">
        <v>417</v>
      </c>
      <c r="E96" s="3">
        <v>8999.99</v>
      </c>
      <c r="F96" s="3">
        <v>8.88</v>
      </c>
      <c r="G96" s="3">
        <v>4.97</v>
      </c>
      <c r="H96" s="3">
        <v>40.0</v>
      </c>
      <c r="I96" s="3" t="s">
        <v>423</v>
      </c>
      <c r="J96" s="3" t="s">
        <v>428</v>
      </c>
      <c r="K96" s="3">
        <v>2.0</v>
      </c>
      <c r="L96" s="3" t="s">
        <v>41</v>
      </c>
      <c r="M96" s="3" t="s">
        <v>49</v>
      </c>
      <c r="N96" s="3" t="s">
        <v>26</v>
      </c>
      <c r="O96" s="3" t="s">
        <v>429</v>
      </c>
      <c r="P96" s="3" t="s">
        <v>64</v>
      </c>
      <c r="Q96" s="3">
        <v>1.0</v>
      </c>
      <c r="R96" s="4" t="str">
        <f>IFERROR(__xludf.DUMMYFUNCTION("AI(""Summarize this description using 10 words"")"),"Sophisticated Rolex watch featuring a black dial and date complication.")</f>
        <v>Sophisticated Rolex watch featuring a black dial and date complication.</v>
      </c>
      <c r="S96" s="4" t="str">
        <f>IFERROR(__xludf.DUMMYFUNCTION("AI(""DO A SENTIMENT ANALYSIS FOR THIS TABLE"")"),"Mixed")</f>
        <v>Mixed</v>
      </c>
    </row>
    <row r="97" ht="22.5" customHeight="1">
      <c r="A97" s="3">
        <v>96.0</v>
      </c>
      <c r="B97" s="3" t="s">
        <v>430</v>
      </c>
      <c r="C97" s="3" t="s">
        <v>431</v>
      </c>
      <c r="D97" s="3" t="s">
        <v>417</v>
      </c>
      <c r="E97" s="3">
        <v>12999.99</v>
      </c>
      <c r="F97" s="3">
        <v>17.52</v>
      </c>
      <c r="G97" s="3">
        <v>2.58</v>
      </c>
      <c r="H97" s="3">
        <v>36.0</v>
      </c>
      <c r="I97" s="3" t="s">
        <v>423</v>
      </c>
      <c r="J97" s="3" t="s">
        <v>428</v>
      </c>
      <c r="K97" s="3">
        <v>2.0</v>
      </c>
      <c r="L97" s="3" t="s">
        <v>82</v>
      </c>
      <c r="M97" s="3" t="s">
        <v>56</v>
      </c>
      <c r="N97" s="3" t="s">
        <v>26</v>
      </c>
      <c r="O97" s="3" t="s">
        <v>432</v>
      </c>
      <c r="P97" s="3" t="s">
        <v>36</v>
      </c>
      <c r="Q97" s="3">
        <v>1.0</v>
      </c>
      <c r="R97" s="4" t="str">
        <f>IFERROR(__xludf.DUMMYFUNCTION("AI(""Summarize this description using 10 words"")"),"Rolex horology masterpiece with moon phase complication, precision, and elegance.")</f>
        <v>Rolex horology masterpiece with moon phase complication, precision, and elegance.</v>
      </c>
      <c r="S97" s="4" t="str">
        <f>IFERROR(__xludf.DUMMYFUNCTION("AI(""DO A SENTIMENT ANALYSIS FOR THIS TABLE"")"),"Positive")</f>
        <v>Positive</v>
      </c>
    </row>
    <row r="98" ht="22.5" customHeight="1">
      <c r="A98" s="3">
        <v>97.0</v>
      </c>
      <c r="B98" s="3" t="s">
        <v>433</v>
      </c>
      <c r="C98" s="3" t="s">
        <v>434</v>
      </c>
      <c r="D98" s="3" t="s">
        <v>417</v>
      </c>
      <c r="E98" s="3">
        <v>10999.99</v>
      </c>
      <c r="F98" s="3">
        <v>3.73</v>
      </c>
      <c r="G98" s="3">
        <v>3.66</v>
      </c>
      <c r="H98" s="3">
        <v>86.0</v>
      </c>
      <c r="I98" s="3" t="s">
        <v>423</v>
      </c>
      <c r="J98" s="3" t="s">
        <v>428</v>
      </c>
      <c r="K98" s="3">
        <v>4.0</v>
      </c>
      <c r="L98" s="3" t="s">
        <v>105</v>
      </c>
      <c r="M98" s="3" t="s">
        <v>76</v>
      </c>
      <c r="N98" s="3" t="s">
        <v>26</v>
      </c>
      <c r="O98" s="3" t="s">
        <v>435</v>
      </c>
      <c r="P98" s="3" t="s">
        <v>36</v>
      </c>
      <c r="Q98" s="3">
        <v>1.0</v>
      </c>
      <c r="R98" s="4" t="str">
        <f>IFERROR(__xludf.DUMMYFUNCTION("AI(""Summarize this description using 10 words"")"),"Iconic, versatile Rolex watch featuring timeless design and exceptional reliability.")</f>
        <v>Iconic, versatile Rolex watch featuring timeless design and exceptional reliability.</v>
      </c>
      <c r="S98" s="4" t="str">
        <f>IFERROR(__xludf.DUMMYFUNCTION("AI(""DO A SENTIMENT ANALYSIS FOR THIS TABLE"")"),"Mixed")</f>
        <v>Mixed</v>
      </c>
    </row>
    <row r="99" ht="22.5" customHeight="1">
      <c r="A99" s="3">
        <v>98.0</v>
      </c>
      <c r="B99" s="3" t="s">
        <v>436</v>
      </c>
      <c r="C99" s="3" t="s">
        <v>437</v>
      </c>
      <c r="D99" s="3" t="s">
        <v>417</v>
      </c>
      <c r="E99" s="3">
        <v>13999.99</v>
      </c>
      <c r="F99" s="3">
        <v>5.05</v>
      </c>
      <c r="G99" s="3">
        <v>2.69</v>
      </c>
      <c r="H99" s="3">
        <v>55.0</v>
      </c>
      <c r="I99" s="3" t="s">
        <v>423</v>
      </c>
      <c r="J99" s="3" t="s">
        <v>428</v>
      </c>
      <c r="K99" s="3">
        <v>4.0</v>
      </c>
      <c r="L99" s="3" t="s">
        <v>99</v>
      </c>
      <c r="M99" s="3" t="s">
        <v>76</v>
      </c>
      <c r="N99" s="3" t="s">
        <v>26</v>
      </c>
      <c r="O99" s="3" t="s">
        <v>438</v>
      </c>
      <c r="P99" s="3" t="s">
        <v>64</v>
      </c>
      <c r="Q99" s="3">
        <v>1.0</v>
      </c>
      <c r="R99" s="4" t="str">
        <f>IFERROR(__xludf.DUMMYFUNCTION("AI(""Summarize this description using 10 words"")"),"Legendary dive watch known for durability, water resistance, and adventure.")</f>
        <v>Legendary dive watch known for durability, water resistance, and adventure.</v>
      </c>
      <c r="S99" s="4" t="str">
        <f>IFERROR(__xludf.DUMMYFUNCTION("AI(""DO A SENTIMENT ANALYSIS FOR THIS TABLE"")"),"Positive")</f>
        <v>Positive</v>
      </c>
    </row>
    <row r="100" ht="22.5" customHeight="1">
      <c r="A100" s="3">
        <v>99.0</v>
      </c>
      <c r="B100" s="3" t="s">
        <v>439</v>
      </c>
      <c r="C100" s="3" t="s">
        <v>440</v>
      </c>
      <c r="D100" s="3" t="s">
        <v>441</v>
      </c>
      <c r="E100" s="3">
        <v>99.99</v>
      </c>
      <c r="F100" s="3">
        <v>12.07</v>
      </c>
      <c r="G100" s="3">
        <v>4.99</v>
      </c>
      <c r="H100" s="3">
        <v>61.0</v>
      </c>
      <c r="I100" s="3" t="s">
        <v>442</v>
      </c>
      <c r="J100" s="3" t="s">
        <v>443</v>
      </c>
      <c r="K100" s="3">
        <v>5.0</v>
      </c>
      <c r="L100" s="3" t="s">
        <v>82</v>
      </c>
      <c r="M100" s="3" t="s">
        <v>49</v>
      </c>
      <c r="N100" s="3" t="s">
        <v>26</v>
      </c>
      <c r="O100" s="3" t="s">
        <v>444</v>
      </c>
      <c r="P100" s="3" t="s">
        <v>36</v>
      </c>
      <c r="Q100" s="3">
        <v>9.0</v>
      </c>
      <c r="R100" s="4" t="str">
        <f>IFERROR(__xludf.DUMMYFUNCTION("AI(""Summarize this description using 10 words"")"),"Smart speaker with Alexa, premium sound, and smart home hub.")</f>
        <v>Smart speaker with Alexa, premium sound, and smart home hub.</v>
      </c>
      <c r="S100" s="4" t="str">
        <f>IFERROR(__xludf.DUMMYFUNCTION("AI(""DO A SENTIMENT ANALYSIS FOR THIS TABLE"")"),"Mixed")</f>
        <v>Mixed</v>
      </c>
    </row>
    <row r="101" ht="22.5" customHeight="1">
      <c r="A101" s="3">
        <v>100.0</v>
      </c>
      <c r="B101" s="3" t="s">
        <v>445</v>
      </c>
      <c r="C101" s="3" t="s">
        <v>446</v>
      </c>
      <c r="D101" s="3" t="s">
        <v>441</v>
      </c>
      <c r="E101" s="3">
        <v>129.99</v>
      </c>
      <c r="F101" s="3">
        <v>15.54</v>
      </c>
      <c r="G101" s="3">
        <v>4.15</v>
      </c>
      <c r="H101" s="3">
        <v>67.0</v>
      </c>
      <c r="I101" s="3" t="s">
        <v>447</v>
      </c>
      <c r="J101" s="3" t="s">
        <v>113</v>
      </c>
      <c r="K101" s="3">
        <v>4.0</v>
      </c>
      <c r="L101" s="3" t="s">
        <v>48</v>
      </c>
      <c r="M101" s="3" t="s">
        <v>25</v>
      </c>
      <c r="N101" s="3" t="s">
        <v>26</v>
      </c>
      <c r="O101" s="3" t="s">
        <v>448</v>
      </c>
      <c r="P101" s="3" t="s">
        <v>28</v>
      </c>
      <c r="Q101" s="3">
        <v>4.0</v>
      </c>
      <c r="R101" s="4" t="str">
        <f>IFERROR(__xludf.DUMMYFUNCTION("AI(""Summarize this description using 10 words"")"),"Seamless wireless audio with easy pairing, high-quality sound, and Siri.")</f>
        <v>Seamless wireless audio with easy pairing, high-quality sound, and Siri.</v>
      </c>
      <c r="S101" s="4" t="str">
        <f>IFERROR(__xludf.DUMMYFUNCTION("AI(""DO A SENTIMENT ANALYSIS FOR THIS TABLE"")"),"Positive")</f>
        <v>Positive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5" t="s">
        <v>4</v>
      </c>
      <c r="B3" s="5" t="s">
        <v>6</v>
      </c>
      <c r="C3" s="5" t="s">
        <v>3</v>
      </c>
    </row>
    <row r="4" ht="22.5" customHeight="1">
      <c r="A4" s="6">
        <v>0.79</v>
      </c>
      <c r="B4" s="6">
        <v>3.53</v>
      </c>
      <c r="C4" s="7" t="s">
        <v>115</v>
      </c>
    </row>
    <row r="5" ht="22.5" customHeight="1">
      <c r="A5" s="6">
        <v>0.99</v>
      </c>
      <c r="B5" s="6">
        <v>3.66</v>
      </c>
      <c r="C5" s="7" t="s">
        <v>115</v>
      </c>
    </row>
    <row r="6" ht="22.5" customHeight="1">
      <c r="A6" s="6">
        <v>0.99</v>
      </c>
      <c r="B6" s="6">
        <v>4.96</v>
      </c>
      <c r="C6" s="7" t="s">
        <v>115</v>
      </c>
    </row>
    <row r="7" ht="22.5" customHeight="1">
      <c r="A7" s="6">
        <v>1.29</v>
      </c>
      <c r="B7" s="6">
        <v>3.25</v>
      </c>
      <c r="C7" s="7" t="s">
        <v>115</v>
      </c>
    </row>
    <row r="8" ht="22.5" customHeight="1">
      <c r="A8" s="6">
        <v>1.49</v>
      </c>
      <c r="B8" s="6">
        <v>4.07</v>
      </c>
      <c r="C8" s="7" t="s">
        <v>115</v>
      </c>
    </row>
    <row r="9" ht="22.5" customHeight="1">
      <c r="A9" s="6">
        <v>1.99</v>
      </c>
      <c r="B9" s="6">
        <v>4.19</v>
      </c>
      <c r="C9" s="7" t="s">
        <v>115</v>
      </c>
    </row>
    <row r="10" ht="22.5" customHeight="1">
      <c r="A10" s="6">
        <v>1.99</v>
      </c>
      <c r="B10" s="6">
        <v>4.2</v>
      </c>
      <c r="C10" s="7" t="s">
        <v>115</v>
      </c>
    </row>
    <row r="11" ht="22.5" customHeight="1">
      <c r="A11" s="6">
        <v>1.99</v>
      </c>
      <c r="B11" s="6">
        <v>4.75</v>
      </c>
      <c r="C11" s="7" t="s">
        <v>115</v>
      </c>
    </row>
    <row r="12" ht="22.5" customHeight="1">
      <c r="A12" s="6">
        <v>2.29</v>
      </c>
      <c r="B12" s="6">
        <v>4.81</v>
      </c>
      <c r="C12" s="7" t="s">
        <v>115</v>
      </c>
    </row>
    <row r="13" ht="22.5" customHeight="1">
      <c r="A13" s="6">
        <v>2.49</v>
      </c>
      <c r="B13" s="6">
        <v>4.93</v>
      </c>
      <c r="C13" s="7" t="s">
        <v>115</v>
      </c>
    </row>
    <row r="14" ht="22.5" customHeight="1">
      <c r="A14" s="6">
        <v>2.49</v>
      </c>
      <c r="B14" s="6">
        <v>2.69</v>
      </c>
      <c r="C14" s="7" t="s">
        <v>115</v>
      </c>
    </row>
    <row r="15" ht="22.5" customHeight="1">
      <c r="A15" s="6">
        <v>2.99</v>
      </c>
      <c r="B15" s="6">
        <v>2.53</v>
      </c>
      <c r="C15" s="7" t="s">
        <v>115</v>
      </c>
    </row>
    <row r="16" ht="22.5" customHeight="1">
      <c r="A16" s="6">
        <v>3.49</v>
      </c>
      <c r="B16" s="6">
        <v>2.61</v>
      </c>
      <c r="C16" s="7" t="s">
        <v>115</v>
      </c>
    </row>
    <row r="17" ht="22.5" customHeight="1">
      <c r="A17" s="6">
        <v>3.99</v>
      </c>
      <c r="B17" s="6">
        <v>3.94</v>
      </c>
      <c r="C17" s="7" t="s">
        <v>115</v>
      </c>
    </row>
    <row r="18" ht="22.5" customHeight="1">
      <c r="A18" s="6">
        <v>3.99</v>
      </c>
      <c r="B18" s="6">
        <v>3.08</v>
      </c>
      <c r="C18" s="7" t="s">
        <v>115</v>
      </c>
    </row>
    <row r="19" ht="22.5" customHeight="1">
      <c r="A19" s="6">
        <v>3.99</v>
      </c>
      <c r="B19" s="6">
        <v>3.11</v>
      </c>
      <c r="C19" s="7" t="s">
        <v>235</v>
      </c>
    </row>
    <row r="20" ht="22.5" customHeight="1">
      <c r="A20" s="6">
        <v>3.99</v>
      </c>
      <c r="B20" s="6">
        <v>3.65</v>
      </c>
      <c r="C20" s="7" t="s">
        <v>235</v>
      </c>
    </row>
    <row r="21" ht="22.5" customHeight="1">
      <c r="A21" s="6">
        <v>4.99</v>
      </c>
      <c r="B21" s="6">
        <v>4.8</v>
      </c>
      <c r="C21" s="7" t="s">
        <v>115</v>
      </c>
    </row>
    <row r="22" ht="22.5" customHeight="1">
      <c r="A22" s="6">
        <v>4.99</v>
      </c>
      <c r="B22" s="6">
        <v>4.95</v>
      </c>
      <c r="C22" s="7" t="s">
        <v>115</v>
      </c>
    </row>
    <row r="23" ht="22.5" customHeight="1">
      <c r="A23" s="6">
        <v>4.99</v>
      </c>
      <c r="B23" s="6">
        <v>4.02</v>
      </c>
      <c r="C23" s="7" t="s">
        <v>235</v>
      </c>
    </row>
    <row r="24" ht="22.5" customHeight="1">
      <c r="A24" s="6">
        <v>4.99</v>
      </c>
      <c r="B24" s="6">
        <v>4.03</v>
      </c>
      <c r="C24" s="7" t="s">
        <v>235</v>
      </c>
    </row>
    <row r="25" ht="22.5" customHeight="1">
      <c r="A25" s="6">
        <v>5.49</v>
      </c>
      <c r="B25" s="6">
        <v>3.39</v>
      </c>
      <c r="C25" s="7" t="s">
        <v>115</v>
      </c>
    </row>
    <row r="26" ht="22.5" customHeight="1">
      <c r="A26" s="6">
        <v>5.99</v>
      </c>
      <c r="B26" s="6">
        <v>3.18</v>
      </c>
      <c r="C26" s="7" t="s">
        <v>115</v>
      </c>
    </row>
    <row r="27" ht="22.5" customHeight="1">
      <c r="A27" s="6">
        <v>5.99</v>
      </c>
      <c r="B27" s="6">
        <v>4.46</v>
      </c>
      <c r="C27" s="7" t="s">
        <v>235</v>
      </c>
    </row>
    <row r="28" ht="22.5" customHeight="1">
      <c r="A28" s="6">
        <v>5.99</v>
      </c>
      <c r="B28" s="6">
        <v>4.71</v>
      </c>
      <c r="C28" s="7" t="s">
        <v>235</v>
      </c>
    </row>
    <row r="29" ht="22.5" customHeight="1">
      <c r="A29" s="6">
        <v>5.99</v>
      </c>
      <c r="B29" s="6">
        <v>4.24</v>
      </c>
      <c r="C29" s="7" t="s">
        <v>235</v>
      </c>
    </row>
    <row r="30" ht="22.5" customHeight="1">
      <c r="A30" s="6">
        <v>6.99</v>
      </c>
      <c r="B30" s="6">
        <v>3.97</v>
      </c>
      <c r="C30" s="7" t="s">
        <v>115</v>
      </c>
    </row>
    <row r="31" ht="22.5" customHeight="1">
      <c r="A31" s="6">
        <v>6.99</v>
      </c>
      <c r="B31" s="6">
        <v>3.09</v>
      </c>
      <c r="C31" s="7" t="s">
        <v>235</v>
      </c>
    </row>
    <row r="32" ht="22.5" customHeight="1">
      <c r="A32" s="6">
        <v>6.99</v>
      </c>
      <c r="B32" s="6">
        <v>4.42</v>
      </c>
      <c r="C32" s="7" t="s">
        <v>235</v>
      </c>
    </row>
    <row r="33" ht="22.5" customHeight="1">
      <c r="A33" s="6">
        <v>7.99</v>
      </c>
      <c r="B33" s="6">
        <v>4.82</v>
      </c>
      <c r="C33" s="7" t="s">
        <v>115</v>
      </c>
    </row>
    <row r="34" ht="22.5" customHeight="1">
      <c r="A34" s="6">
        <v>7.99</v>
      </c>
      <c r="B34" s="6">
        <v>3.27</v>
      </c>
      <c r="C34" s="7" t="s">
        <v>235</v>
      </c>
    </row>
    <row r="35" ht="22.5" customHeight="1">
      <c r="A35" s="6">
        <v>7.99</v>
      </c>
      <c r="B35" s="6">
        <v>3.09</v>
      </c>
      <c r="C35" s="7" t="s">
        <v>235</v>
      </c>
    </row>
    <row r="36" ht="22.5" customHeight="1">
      <c r="A36" s="6">
        <v>8.99</v>
      </c>
      <c r="B36" s="6">
        <v>4.32</v>
      </c>
      <c r="C36" s="7" t="s">
        <v>21</v>
      </c>
    </row>
    <row r="37" ht="22.5" customHeight="1">
      <c r="A37" s="6">
        <v>8.99</v>
      </c>
      <c r="B37" s="6">
        <v>3.13</v>
      </c>
      <c r="C37" s="7" t="s">
        <v>115</v>
      </c>
    </row>
    <row r="38" ht="22.5" customHeight="1">
      <c r="A38" s="6">
        <v>8.99</v>
      </c>
      <c r="B38" s="6">
        <v>4.63</v>
      </c>
      <c r="C38" s="7" t="s">
        <v>235</v>
      </c>
    </row>
    <row r="39" ht="22.5" customHeight="1">
      <c r="A39" s="6">
        <v>8.99</v>
      </c>
      <c r="B39" s="6">
        <v>3.4</v>
      </c>
      <c r="C39" s="7" t="s">
        <v>235</v>
      </c>
    </row>
    <row r="40" ht="22.5" customHeight="1">
      <c r="A40" s="6">
        <v>9.99</v>
      </c>
      <c r="B40" s="6">
        <v>2.56</v>
      </c>
      <c r="C40" s="7" t="s">
        <v>21</v>
      </c>
    </row>
    <row r="41" ht="22.5" customHeight="1">
      <c r="A41" s="6">
        <v>9.99</v>
      </c>
      <c r="B41" s="6">
        <v>3.19</v>
      </c>
      <c r="C41" s="7" t="s">
        <v>115</v>
      </c>
    </row>
    <row r="42" ht="22.5" customHeight="1">
      <c r="A42" s="6">
        <v>9.99</v>
      </c>
      <c r="B42" s="6">
        <v>3.9</v>
      </c>
      <c r="C42" s="7" t="s">
        <v>235</v>
      </c>
    </row>
    <row r="43" ht="22.5" customHeight="1">
      <c r="A43" s="6">
        <v>9.99</v>
      </c>
      <c r="B43" s="6">
        <v>3.04</v>
      </c>
      <c r="C43" s="7" t="s">
        <v>235</v>
      </c>
    </row>
    <row r="44" ht="22.5" customHeight="1">
      <c r="A44" s="6">
        <v>10.99</v>
      </c>
      <c r="B44" s="6">
        <v>4.55</v>
      </c>
      <c r="C44" s="7" t="s">
        <v>115</v>
      </c>
    </row>
    <row r="45" ht="22.5" customHeight="1">
      <c r="A45" s="6">
        <v>10.99</v>
      </c>
      <c r="B45" s="6">
        <v>3.21</v>
      </c>
      <c r="C45" s="7" t="s">
        <v>235</v>
      </c>
    </row>
    <row r="46" ht="22.5" customHeight="1">
      <c r="A46" s="6">
        <v>11.99</v>
      </c>
      <c r="B46" s="6">
        <v>2.92</v>
      </c>
      <c r="C46" s="7" t="s">
        <v>235</v>
      </c>
    </row>
    <row r="47" ht="22.5" customHeight="1">
      <c r="A47" s="6">
        <v>12.99</v>
      </c>
      <c r="B47" s="6">
        <v>4.36</v>
      </c>
      <c r="C47" s="7" t="s">
        <v>21</v>
      </c>
    </row>
    <row r="48" ht="22.5" customHeight="1">
      <c r="A48" s="6">
        <v>12.99</v>
      </c>
      <c r="B48" s="6">
        <v>4.47</v>
      </c>
      <c r="C48" s="7" t="s">
        <v>115</v>
      </c>
    </row>
    <row r="49" ht="22.5" customHeight="1">
      <c r="A49" s="6">
        <v>12.99</v>
      </c>
      <c r="B49" s="6">
        <v>3.7</v>
      </c>
      <c r="C49" s="7" t="s">
        <v>235</v>
      </c>
    </row>
    <row r="50" ht="22.5" customHeight="1">
      <c r="A50" s="6">
        <v>12.99</v>
      </c>
      <c r="B50" s="6">
        <v>4.93</v>
      </c>
      <c r="C50" s="7" t="s">
        <v>235</v>
      </c>
    </row>
    <row r="51" ht="22.5" customHeight="1">
      <c r="A51" s="6">
        <v>14.99</v>
      </c>
      <c r="B51" s="6">
        <v>4.64</v>
      </c>
      <c r="C51" s="7" t="s">
        <v>21</v>
      </c>
    </row>
    <row r="52" ht="22.5" customHeight="1">
      <c r="A52" s="6">
        <v>14.99</v>
      </c>
      <c r="B52" s="6">
        <v>3.78</v>
      </c>
      <c r="C52" s="7" t="s">
        <v>115</v>
      </c>
    </row>
    <row r="53" ht="22.5" customHeight="1">
      <c r="A53" s="6">
        <v>14.99</v>
      </c>
      <c r="B53" s="6">
        <v>3.01</v>
      </c>
      <c r="C53" s="7" t="s">
        <v>214</v>
      </c>
    </row>
    <row r="54" ht="22.5" customHeight="1">
      <c r="A54" s="6">
        <v>14.99</v>
      </c>
      <c r="B54" s="6">
        <v>3.26</v>
      </c>
      <c r="C54" s="7" t="s">
        <v>235</v>
      </c>
    </row>
    <row r="55" ht="22.5" customHeight="1">
      <c r="A55" s="6">
        <v>15.99</v>
      </c>
      <c r="B55" s="6">
        <v>2.64</v>
      </c>
      <c r="C55" s="7" t="s">
        <v>235</v>
      </c>
    </row>
    <row r="56" ht="22.5" customHeight="1">
      <c r="A56" s="6">
        <v>16.99</v>
      </c>
      <c r="B56" s="6">
        <v>4.62</v>
      </c>
      <c r="C56" s="7" t="s">
        <v>235</v>
      </c>
    </row>
    <row r="57" ht="22.5" customHeight="1">
      <c r="A57" s="6">
        <v>19.99</v>
      </c>
      <c r="B57" s="6">
        <v>2.86</v>
      </c>
      <c r="C57" s="7" t="s">
        <v>21</v>
      </c>
    </row>
    <row r="58" ht="22.5" customHeight="1">
      <c r="A58" s="6">
        <v>19.99</v>
      </c>
      <c r="B58" s="6">
        <v>4.18</v>
      </c>
      <c r="C58" s="7" t="s">
        <v>115</v>
      </c>
    </row>
    <row r="59" ht="22.5" customHeight="1">
      <c r="A59" s="6">
        <v>19.99</v>
      </c>
      <c r="B59" s="6">
        <v>4.87</v>
      </c>
      <c r="C59" s="7" t="s">
        <v>235</v>
      </c>
    </row>
    <row r="60" ht="22.5" customHeight="1">
      <c r="A60" s="6">
        <v>19.99</v>
      </c>
      <c r="B60" s="6">
        <v>2.9</v>
      </c>
      <c r="C60" s="7" t="s">
        <v>372</v>
      </c>
    </row>
    <row r="61" ht="22.5" customHeight="1">
      <c r="A61" s="6">
        <v>24.99</v>
      </c>
      <c r="B61" s="6">
        <v>2.79</v>
      </c>
      <c r="C61" s="7" t="s">
        <v>235</v>
      </c>
    </row>
    <row r="62" ht="22.5" customHeight="1">
      <c r="A62" s="6">
        <v>24.99</v>
      </c>
      <c r="B62" s="6">
        <v>3.18</v>
      </c>
      <c r="C62" s="7" t="s">
        <v>372</v>
      </c>
    </row>
    <row r="63" ht="22.5" customHeight="1">
      <c r="A63" s="6">
        <v>27.99</v>
      </c>
      <c r="B63" s="6">
        <v>2.72</v>
      </c>
      <c r="C63" s="7" t="s">
        <v>372</v>
      </c>
    </row>
    <row r="64" ht="22.5" customHeight="1">
      <c r="A64" s="6">
        <v>29.99</v>
      </c>
      <c r="B64" s="6">
        <v>4.53</v>
      </c>
      <c r="C64" s="7" t="s">
        <v>214</v>
      </c>
    </row>
    <row r="65" ht="22.5" customHeight="1">
      <c r="A65" s="6">
        <v>29.99</v>
      </c>
      <c r="B65" s="6">
        <v>4.05</v>
      </c>
      <c r="C65" s="7" t="s">
        <v>235</v>
      </c>
    </row>
    <row r="66" ht="22.5" customHeight="1">
      <c r="A66" s="6">
        <v>29.99</v>
      </c>
      <c r="B66" s="6">
        <v>3.64</v>
      </c>
      <c r="C66" s="7" t="s">
        <v>372</v>
      </c>
    </row>
    <row r="67" ht="22.5" customHeight="1">
      <c r="A67" s="6">
        <v>34.99</v>
      </c>
      <c r="B67" s="6">
        <v>3.86</v>
      </c>
      <c r="C67" s="7" t="s">
        <v>235</v>
      </c>
    </row>
    <row r="68" ht="22.5" customHeight="1">
      <c r="A68" s="6">
        <v>34.99</v>
      </c>
      <c r="B68" s="6">
        <v>3.46</v>
      </c>
      <c r="C68" s="7" t="s">
        <v>372</v>
      </c>
    </row>
    <row r="69" ht="22.5" customHeight="1">
      <c r="A69" s="6">
        <v>39.99</v>
      </c>
      <c r="B69" s="6">
        <v>4.67</v>
      </c>
      <c r="C69" s="7" t="s">
        <v>214</v>
      </c>
    </row>
    <row r="70" ht="22.5" customHeight="1">
      <c r="A70" s="6">
        <v>39.99</v>
      </c>
      <c r="B70" s="6">
        <v>4.56</v>
      </c>
      <c r="C70" s="7" t="s">
        <v>235</v>
      </c>
    </row>
    <row r="71" ht="22.5" customHeight="1">
      <c r="A71" s="6">
        <v>39.99</v>
      </c>
      <c r="B71" s="6">
        <v>3.22</v>
      </c>
      <c r="C71" s="7" t="s">
        <v>235</v>
      </c>
    </row>
    <row r="72" ht="22.5" customHeight="1">
      <c r="A72" s="6">
        <v>49.99</v>
      </c>
      <c r="B72" s="6">
        <v>4.37</v>
      </c>
      <c r="C72" s="7" t="s">
        <v>60</v>
      </c>
    </row>
    <row r="73" ht="22.5" customHeight="1">
      <c r="A73" s="6">
        <v>49.99</v>
      </c>
      <c r="B73" s="6">
        <v>3.55</v>
      </c>
      <c r="C73" s="7" t="s">
        <v>214</v>
      </c>
    </row>
    <row r="74" ht="22.5" customHeight="1">
      <c r="A74" s="6">
        <v>49.99</v>
      </c>
      <c r="B74" s="6">
        <v>4.11</v>
      </c>
      <c r="C74" s="7" t="s">
        <v>235</v>
      </c>
    </row>
    <row r="75" ht="22.5" customHeight="1">
      <c r="A75" s="6">
        <v>59.99</v>
      </c>
      <c r="B75" s="6">
        <v>3.16</v>
      </c>
      <c r="C75" s="7" t="s">
        <v>214</v>
      </c>
    </row>
    <row r="76" ht="22.5" customHeight="1">
      <c r="A76" s="6">
        <v>69.99</v>
      </c>
      <c r="B76" s="6">
        <v>3.96</v>
      </c>
      <c r="C76" s="7" t="s">
        <v>60</v>
      </c>
    </row>
    <row r="77" ht="22.5" customHeight="1">
      <c r="A77" s="6">
        <v>79.99</v>
      </c>
      <c r="B77" s="6">
        <v>2.74</v>
      </c>
      <c r="C77" s="7" t="s">
        <v>60</v>
      </c>
    </row>
    <row r="78" ht="22.5" customHeight="1">
      <c r="A78" s="6">
        <v>79.99</v>
      </c>
      <c r="B78" s="6">
        <v>3.88</v>
      </c>
      <c r="C78" s="7" t="s">
        <v>395</v>
      </c>
    </row>
    <row r="79" ht="22.5" customHeight="1">
      <c r="A79" s="6">
        <v>89.99</v>
      </c>
      <c r="B79" s="6">
        <v>3.8</v>
      </c>
      <c r="C79" s="7" t="s">
        <v>60</v>
      </c>
    </row>
    <row r="80" ht="22.5" customHeight="1">
      <c r="A80" s="6">
        <v>89.99</v>
      </c>
      <c r="B80" s="6">
        <v>4.82</v>
      </c>
      <c r="C80" s="7" t="s">
        <v>235</v>
      </c>
    </row>
    <row r="81" ht="22.5" customHeight="1">
      <c r="A81" s="6">
        <v>89.99</v>
      </c>
      <c r="B81" s="6">
        <v>4.9</v>
      </c>
      <c r="C81" s="7" t="s">
        <v>395</v>
      </c>
    </row>
    <row r="82" ht="22.5" customHeight="1">
      <c r="A82" s="6">
        <v>89.99</v>
      </c>
      <c r="B82" s="6">
        <v>4.19</v>
      </c>
      <c r="C82" s="7" t="s">
        <v>417</v>
      </c>
    </row>
    <row r="83" ht="22.5" customHeight="1">
      <c r="A83" s="6">
        <v>99.99</v>
      </c>
      <c r="B83" s="6">
        <v>4.99</v>
      </c>
      <c r="C83" s="7" t="s">
        <v>441</v>
      </c>
    </row>
    <row r="84" ht="22.5" customHeight="1">
      <c r="A84" s="6">
        <v>109.99</v>
      </c>
      <c r="B84" s="6">
        <v>4.69</v>
      </c>
      <c r="C84" s="7" t="s">
        <v>395</v>
      </c>
    </row>
    <row r="85" ht="22.5" customHeight="1">
      <c r="A85" s="6">
        <v>119.99</v>
      </c>
      <c r="B85" s="6">
        <v>4.77</v>
      </c>
      <c r="C85" s="7" t="s">
        <v>395</v>
      </c>
    </row>
    <row r="86" ht="22.5" customHeight="1">
      <c r="A86" s="6">
        <v>129.99</v>
      </c>
      <c r="B86" s="6">
        <v>4.26</v>
      </c>
      <c r="C86" s="7" t="s">
        <v>60</v>
      </c>
    </row>
    <row r="87" ht="22.5" customHeight="1">
      <c r="A87" s="6">
        <v>129.99</v>
      </c>
      <c r="B87" s="6">
        <v>4.15</v>
      </c>
      <c r="C87" s="7" t="s">
        <v>441</v>
      </c>
    </row>
    <row r="88" ht="22.5" customHeight="1">
      <c r="A88" s="6">
        <v>149.99</v>
      </c>
      <c r="B88" s="6">
        <v>4.77</v>
      </c>
      <c r="C88" s="7" t="s">
        <v>395</v>
      </c>
    </row>
    <row r="89" ht="22.5" customHeight="1">
      <c r="A89" s="6">
        <v>299.99</v>
      </c>
      <c r="B89" s="6">
        <v>2.87</v>
      </c>
      <c r="C89" s="7" t="s">
        <v>86</v>
      </c>
    </row>
    <row r="90" ht="22.5" customHeight="1">
      <c r="A90" s="6">
        <v>499.99</v>
      </c>
      <c r="B90" s="6">
        <v>4.88</v>
      </c>
      <c r="C90" s="7" t="s">
        <v>86</v>
      </c>
    </row>
    <row r="91" ht="22.5" customHeight="1">
      <c r="A91" s="6">
        <v>799.99</v>
      </c>
      <c r="B91" s="6">
        <v>3.59</v>
      </c>
      <c r="C91" s="7" t="s">
        <v>86</v>
      </c>
    </row>
    <row r="92" ht="22.5" customHeight="1">
      <c r="A92" s="6">
        <v>1099.99</v>
      </c>
      <c r="B92" s="6">
        <v>2.86</v>
      </c>
      <c r="C92" s="7" t="s">
        <v>350</v>
      </c>
    </row>
    <row r="93" ht="22.5" customHeight="1">
      <c r="A93" s="6">
        <v>1399.99</v>
      </c>
      <c r="B93" s="6">
        <v>4.98</v>
      </c>
      <c r="C93" s="7" t="s">
        <v>350</v>
      </c>
    </row>
    <row r="94" ht="22.5" customHeight="1">
      <c r="A94" s="6">
        <v>1499.99</v>
      </c>
      <c r="B94" s="6">
        <v>2.67</v>
      </c>
      <c r="C94" s="7" t="s">
        <v>350</v>
      </c>
    </row>
    <row r="95" ht="22.5" customHeight="1">
      <c r="A95" s="6">
        <v>1499.99</v>
      </c>
      <c r="B95" s="6">
        <v>3.87</v>
      </c>
      <c r="C95" s="7" t="s">
        <v>417</v>
      </c>
    </row>
    <row r="96" ht="22.5" customHeight="1">
      <c r="A96" s="6">
        <v>1799.99</v>
      </c>
      <c r="B96" s="6">
        <v>3.95</v>
      </c>
      <c r="C96" s="7" t="s">
        <v>350</v>
      </c>
    </row>
    <row r="97" ht="22.5" customHeight="1">
      <c r="A97" s="6">
        <v>1899.99</v>
      </c>
      <c r="B97" s="6">
        <v>4.77</v>
      </c>
      <c r="C97" s="7" t="s">
        <v>86</v>
      </c>
    </row>
    <row r="98" ht="22.5" customHeight="1">
      <c r="A98" s="6">
        <v>1999.99</v>
      </c>
      <c r="B98" s="6">
        <v>3.65</v>
      </c>
      <c r="C98" s="7" t="s">
        <v>350</v>
      </c>
    </row>
    <row r="99" ht="22.5" customHeight="1">
      <c r="A99" s="6">
        <v>2499.99</v>
      </c>
      <c r="B99" s="6">
        <v>3.92</v>
      </c>
      <c r="C99" s="7" t="s">
        <v>86</v>
      </c>
    </row>
    <row r="100" ht="22.5" customHeight="1">
      <c r="A100" s="6">
        <v>8999.99</v>
      </c>
      <c r="B100" s="6">
        <v>4.97</v>
      </c>
      <c r="C100" s="7" t="s">
        <v>417</v>
      </c>
    </row>
    <row r="101" ht="22.5" customHeight="1">
      <c r="A101" s="6">
        <v>10999.99</v>
      </c>
      <c r="B101" s="6">
        <v>3.66</v>
      </c>
      <c r="C101" s="7" t="s">
        <v>417</v>
      </c>
    </row>
    <row r="102" ht="22.5" customHeight="1">
      <c r="A102" s="6">
        <v>12999.99</v>
      </c>
      <c r="B102" s="6">
        <v>2.58</v>
      </c>
      <c r="C102" s="7" t="s">
        <v>417</v>
      </c>
    </row>
    <row r="103" ht="22.5" customHeight="1">
      <c r="A103" s="6">
        <v>13999.99</v>
      </c>
      <c r="B103" s="6">
        <v>2.69</v>
      </c>
      <c r="C103" s="7" t="s">
        <v>417</v>
      </c>
    </row>
  </sheetData>
  <dataValidations>
    <dataValidation type="custom" allowBlank="1" showDropDown="1" sqref="A4:B10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2.63"/>
  </cols>
  <sheetData>
    <row r="1" ht="225.0" customHeight="1"/>
    <row r="3" ht="22.5" customHeight="1">
      <c r="A3" s="5" t="s">
        <v>449</v>
      </c>
      <c r="B3" s="5" t="s">
        <v>21</v>
      </c>
      <c r="C3" s="5" t="s">
        <v>60</v>
      </c>
      <c r="D3" s="5" t="s">
        <v>86</v>
      </c>
      <c r="E3" s="5" t="s">
        <v>115</v>
      </c>
      <c r="F3" s="5" t="s">
        <v>214</v>
      </c>
      <c r="G3" s="5" t="s">
        <v>235</v>
      </c>
      <c r="H3" s="5" t="s">
        <v>350</v>
      </c>
      <c r="I3" s="5" t="s">
        <v>372</v>
      </c>
      <c r="J3" s="5" t="s">
        <v>395</v>
      </c>
      <c r="K3" s="5" t="s">
        <v>417</v>
      </c>
      <c r="L3" s="5" t="s">
        <v>441</v>
      </c>
    </row>
    <row r="4" ht="22.5" customHeight="1">
      <c r="A4" s="7" t="s">
        <v>21</v>
      </c>
      <c r="B4" s="6">
        <v>13.39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22.5" customHeight="1">
      <c r="A5" s="7" t="s">
        <v>60</v>
      </c>
      <c r="B5" s="7"/>
      <c r="C5" s="6">
        <v>83.99</v>
      </c>
      <c r="D5" s="7"/>
      <c r="E5" s="7"/>
      <c r="F5" s="7"/>
      <c r="G5" s="7"/>
      <c r="H5" s="7"/>
      <c r="I5" s="7"/>
      <c r="J5" s="7"/>
      <c r="K5" s="7"/>
      <c r="L5" s="7"/>
    </row>
    <row r="6" ht="22.5" customHeight="1">
      <c r="A6" s="7" t="s">
        <v>86</v>
      </c>
      <c r="B6" s="7"/>
      <c r="C6" s="7"/>
      <c r="D6" s="6">
        <v>1199.99</v>
      </c>
      <c r="E6" s="7"/>
      <c r="F6" s="7"/>
      <c r="G6" s="7"/>
      <c r="H6" s="7"/>
      <c r="I6" s="7"/>
      <c r="J6" s="7"/>
      <c r="K6" s="7"/>
      <c r="L6" s="7"/>
    </row>
    <row r="7" ht="22.5" customHeight="1">
      <c r="A7" s="7" t="s">
        <v>115</v>
      </c>
      <c r="B7" s="7"/>
      <c r="C7" s="7"/>
      <c r="D7" s="7"/>
      <c r="E7" s="6">
        <v>5.46777777777777</v>
      </c>
      <c r="F7" s="7"/>
      <c r="G7" s="7"/>
      <c r="H7" s="7"/>
      <c r="I7" s="7"/>
      <c r="J7" s="7"/>
      <c r="K7" s="7"/>
      <c r="L7" s="7"/>
    </row>
    <row r="8" ht="22.5" customHeight="1">
      <c r="A8" s="7" t="s">
        <v>214</v>
      </c>
      <c r="B8" s="7"/>
      <c r="C8" s="7"/>
      <c r="D8" s="7"/>
      <c r="E8" s="7"/>
      <c r="F8" s="6">
        <v>38.9899999999999</v>
      </c>
      <c r="G8" s="7"/>
      <c r="H8" s="7"/>
      <c r="I8" s="7"/>
      <c r="J8" s="7"/>
      <c r="K8" s="7"/>
      <c r="L8" s="7"/>
    </row>
    <row r="9" ht="22.5" customHeight="1">
      <c r="A9" s="7" t="s">
        <v>235</v>
      </c>
      <c r="B9" s="7"/>
      <c r="C9" s="7"/>
      <c r="D9" s="7"/>
      <c r="E9" s="7"/>
      <c r="F9" s="7"/>
      <c r="G9" s="6">
        <v>17.69</v>
      </c>
      <c r="H9" s="7"/>
      <c r="I9" s="7"/>
      <c r="J9" s="7"/>
      <c r="K9" s="7"/>
      <c r="L9" s="7"/>
    </row>
    <row r="10" ht="22.5" customHeight="1">
      <c r="A10" s="7" t="s">
        <v>350</v>
      </c>
      <c r="B10" s="7"/>
      <c r="C10" s="7"/>
      <c r="D10" s="7"/>
      <c r="E10" s="7"/>
      <c r="F10" s="7"/>
      <c r="G10" s="7"/>
      <c r="H10" s="6">
        <v>1559.99</v>
      </c>
      <c r="I10" s="7"/>
      <c r="J10" s="7"/>
      <c r="K10" s="7"/>
      <c r="L10" s="7"/>
    </row>
    <row r="11" ht="22.5" customHeight="1">
      <c r="A11" s="7" t="s">
        <v>372</v>
      </c>
      <c r="B11" s="7"/>
      <c r="C11" s="7"/>
      <c r="D11" s="7"/>
      <c r="E11" s="7"/>
      <c r="F11" s="7"/>
      <c r="G11" s="7"/>
      <c r="H11" s="7"/>
      <c r="I11" s="6">
        <v>27.5899999999999</v>
      </c>
      <c r="J11" s="7"/>
      <c r="K11" s="7"/>
      <c r="L11" s="7"/>
    </row>
    <row r="12" ht="22.5" customHeight="1">
      <c r="A12" s="7" t="s">
        <v>395</v>
      </c>
      <c r="B12" s="7"/>
      <c r="C12" s="7"/>
      <c r="D12" s="7"/>
      <c r="E12" s="7"/>
      <c r="F12" s="7"/>
      <c r="G12" s="7"/>
      <c r="H12" s="7"/>
      <c r="I12" s="7"/>
      <c r="J12" s="6">
        <v>109.99</v>
      </c>
      <c r="K12" s="7"/>
      <c r="L12" s="7"/>
    </row>
    <row r="13" ht="22.5" customHeight="1">
      <c r="A13" s="7" t="s">
        <v>417</v>
      </c>
      <c r="B13" s="7"/>
      <c r="C13" s="7"/>
      <c r="D13" s="7"/>
      <c r="E13" s="7"/>
      <c r="F13" s="7"/>
      <c r="G13" s="7"/>
      <c r="H13" s="7"/>
      <c r="I13" s="7"/>
      <c r="J13" s="7"/>
      <c r="K13" s="6">
        <v>8098.32333333333</v>
      </c>
      <c r="L13" s="7"/>
    </row>
    <row r="14" ht="22.5" customHeight="1">
      <c r="A14" s="7" t="s">
        <v>441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6">
        <v>114.99</v>
      </c>
    </row>
  </sheetData>
  <dataValidations>
    <dataValidation type="custom" allowBlank="1" showDropDown="1" sqref="B4:L14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2.63"/>
  </cols>
  <sheetData>
    <row r="1" ht="225.0" customHeight="1">
      <c r="A1" s="8" t="s">
        <v>450</v>
      </c>
    </row>
    <row r="3" ht="22.5" customHeight="1">
      <c r="A3" s="5" t="s">
        <v>449</v>
      </c>
      <c r="B3" s="5" t="s">
        <v>235</v>
      </c>
      <c r="C3" s="5" t="s">
        <v>115</v>
      </c>
      <c r="D3" s="5" t="s">
        <v>417</v>
      </c>
      <c r="E3" s="5" t="s">
        <v>21</v>
      </c>
      <c r="F3" s="5" t="s">
        <v>60</v>
      </c>
      <c r="G3" s="5" t="s">
        <v>86</v>
      </c>
      <c r="H3" s="5" t="s">
        <v>214</v>
      </c>
      <c r="I3" s="5" t="s">
        <v>350</v>
      </c>
      <c r="J3" s="5" t="s">
        <v>372</v>
      </c>
      <c r="K3" s="5" t="s">
        <v>395</v>
      </c>
      <c r="L3" s="5" t="s">
        <v>441</v>
      </c>
    </row>
    <row r="4" ht="22.5" customHeight="1">
      <c r="A4" s="7" t="s">
        <v>21</v>
      </c>
      <c r="B4" s="7"/>
      <c r="C4" s="7"/>
      <c r="D4" s="7"/>
      <c r="E4" s="6">
        <v>5.0</v>
      </c>
      <c r="F4" s="7"/>
      <c r="G4" s="7"/>
      <c r="H4" s="7"/>
      <c r="I4" s="7"/>
      <c r="J4" s="7"/>
      <c r="K4" s="7"/>
      <c r="L4" s="7"/>
    </row>
    <row r="5" ht="22.5" customHeight="1">
      <c r="A5" s="7" t="s">
        <v>60</v>
      </c>
      <c r="B5" s="7"/>
      <c r="C5" s="7"/>
      <c r="D5" s="7"/>
      <c r="E5" s="7"/>
      <c r="F5" s="6">
        <v>5.0</v>
      </c>
      <c r="G5" s="7"/>
      <c r="H5" s="7"/>
      <c r="I5" s="7"/>
      <c r="J5" s="7"/>
      <c r="K5" s="7"/>
      <c r="L5" s="7"/>
    </row>
    <row r="6" ht="22.5" customHeight="1">
      <c r="A6" s="7" t="s">
        <v>86</v>
      </c>
      <c r="B6" s="7"/>
      <c r="C6" s="7"/>
      <c r="D6" s="7"/>
      <c r="E6" s="7"/>
      <c r="F6" s="7"/>
      <c r="G6" s="6">
        <v>5.0</v>
      </c>
      <c r="H6" s="7"/>
      <c r="I6" s="7"/>
      <c r="J6" s="7"/>
      <c r="K6" s="7"/>
      <c r="L6" s="7"/>
    </row>
    <row r="7" ht="22.5" customHeight="1">
      <c r="A7" s="7" t="s">
        <v>115</v>
      </c>
      <c r="B7" s="7"/>
      <c r="C7" s="6">
        <v>27.0</v>
      </c>
      <c r="D7" s="7"/>
      <c r="E7" s="7"/>
      <c r="F7" s="7"/>
      <c r="G7" s="7"/>
      <c r="H7" s="7"/>
      <c r="I7" s="7"/>
      <c r="J7" s="7"/>
      <c r="K7" s="7"/>
      <c r="L7" s="7"/>
    </row>
    <row r="8" ht="22.5" customHeight="1">
      <c r="A8" s="7" t="s">
        <v>214</v>
      </c>
      <c r="B8" s="7"/>
      <c r="C8" s="7"/>
      <c r="D8" s="7"/>
      <c r="E8" s="7"/>
      <c r="F8" s="7"/>
      <c r="G8" s="7"/>
      <c r="H8" s="6">
        <v>5.0</v>
      </c>
      <c r="I8" s="7"/>
      <c r="J8" s="7"/>
      <c r="K8" s="7"/>
      <c r="L8" s="7"/>
    </row>
    <row r="9" ht="22.5" customHeight="1">
      <c r="A9" s="7" t="s">
        <v>235</v>
      </c>
      <c r="B9" s="6">
        <v>30.0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22.5" customHeight="1">
      <c r="A10" s="7" t="s">
        <v>350</v>
      </c>
      <c r="B10" s="7"/>
      <c r="C10" s="7"/>
      <c r="D10" s="7"/>
      <c r="E10" s="7"/>
      <c r="F10" s="7"/>
      <c r="G10" s="7"/>
      <c r="H10" s="7"/>
      <c r="I10" s="6">
        <v>5.0</v>
      </c>
      <c r="J10" s="7"/>
      <c r="K10" s="7"/>
      <c r="L10" s="7"/>
    </row>
    <row r="11" ht="22.5" customHeight="1">
      <c r="A11" s="7" t="s">
        <v>372</v>
      </c>
      <c r="B11" s="7"/>
      <c r="C11" s="7"/>
      <c r="D11" s="7"/>
      <c r="E11" s="7"/>
      <c r="F11" s="7"/>
      <c r="G11" s="7"/>
      <c r="H11" s="7"/>
      <c r="I11" s="7"/>
      <c r="J11" s="6">
        <v>5.0</v>
      </c>
      <c r="K11" s="7"/>
      <c r="L11" s="7"/>
    </row>
    <row r="12" ht="22.5" customHeight="1">
      <c r="A12" s="7" t="s">
        <v>395</v>
      </c>
      <c r="B12" s="7"/>
      <c r="C12" s="7"/>
      <c r="D12" s="7"/>
      <c r="E12" s="7"/>
      <c r="F12" s="7"/>
      <c r="G12" s="7"/>
      <c r="H12" s="7"/>
      <c r="I12" s="7"/>
      <c r="J12" s="7"/>
      <c r="K12" s="6">
        <v>5.0</v>
      </c>
      <c r="L12" s="7"/>
    </row>
    <row r="13" ht="22.5" customHeight="1">
      <c r="A13" s="7" t="s">
        <v>417</v>
      </c>
      <c r="B13" s="7"/>
      <c r="C13" s="7"/>
      <c r="D13" s="6">
        <v>6.0</v>
      </c>
      <c r="E13" s="7"/>
      <c r="F13" s="7"/>
      <c r="G13" s="7"/>
      <c r="H13" s="7"/>
      <c r="I13" s="7"/>
      <c r="J13" s="7"/>
      <c r="K13" s="7"/>
      <c r="L13" s="7"/>
    </row>
    <row r="14" ht="22.5" customHeight="1">
      <c r="A14" s="7" t="s">
        <v>441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6">
        <v>2.0</v>
      </c>
    </row>
  </sheetData>
  <mergeCells count="1">
    <mergeCell ref="A1:E1"/>
  </mergeCells>
  <dataValidations>
    <dataValidation type="custom" allowBlank="1" showDropDown="1" sqref="B4:L14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